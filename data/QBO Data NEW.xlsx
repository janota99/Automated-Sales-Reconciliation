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con Project\data\"/>
    </mc:Choice>
  </mc:AlternateContent>
  <xr:revisionPtr revIDLastSave="0" documentId="13_ncr:1_{34B65A63-5B85-457A-832F-9E86CE277728}" xr6:coauthVersionLast="47" xr6:coauthVersionMax="47" xr10:uidLastSave="{00000000-0000-0000-0000-000000000000}"/>
  <bookViews>
    <workbookView xWindow="39160" yWindow="890" windowWidth="28800" windowHeight="17980" xr2:uid="{37338C1F-0B4E-44D6-82BA-8872D0D04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3" i="1" l="1"/>
  <c r="H280" i="1"/>
  <c r="H257" i="1"/>
  <c r="H213" i="1"/>
  <c r="H149" i="1"/>
  <c r="H146" i="1"/>
  <c r="H129" i="1"/>
  <c r="H66" i="1"/>
  <c r="H52" i="1"/>
  <c r="H35" i="1"/>
</calcChain>
</file>

<file path=xl/sharedStrings.xml><?xml version="1.0" encoding="utf-8"?>
<sst xmlns="http://schemas.openxmlformats.org/spreadsheetml/2006/main" count="1325" uniqueCount="594">
  <si>
    <t>PERIOD END Sales by Product/Service Detail - copy</t>
  </si>
  <si>
    <t>January 18-February 14, 2026</t>
  </si>
  <si>
    <t>Date</t>
  </si>
  <si>
    <t>Num</t>
  </si>
  <si>
    <t>Memo/Description</t>
  </si>
  <si>
    <t>Customer name</t>
  </si>
  <si>
    <t>ALLSUPS 24 CASE</t>
  </si>
  <si>
    <t>01/19/2026</t>
  </si>
  <si>
    <t>20672</t>
  </si>
  <si>
    <t>993114</t>
  </si>
  <si>
    <t>AFFILIATED FOODS, INC.</t>
  </si>
  <si>
    <t>20679</t>
  </si>
  <si>
    <t>993121</t>
  </si>
  <si>
    <t>20683</t>
  </si>
  <si>
    <t>993125</t>
  </si>
  <si>
    <t>20680</t>
  </si>
  <si>
    <t>993122</t>
  </si>
  <si>
    <t>20678</t>
  </si>
  <si>
    <t>993120</t>
  </si>
  <si>
    <t>20676</t>
  </si>
  <si>
    <t>993118</t>
  </si>
  <si>
    <t>20674</t>
  </si>
  <si>
    <t>993116</t>
  </si>
  <si>
    <t>20677</t>
  </si>
  <si>
    <t>993119</t>
  </si>
  <si>
    <t>20675</t>
  </si>
  <si>
    <t>993117</t>
  </si>
  <si>
    <t>20682</t>
  </si>
  <si>
    <t>993124</t>
  </si>
  <si>
    <t>20685</t>
  </si>
  <si>
    <t>993127</t>
  </si>
  <si>
    <t>20673</t>
  </si>
  <si>
    <t>993115</t>
  </si>
  <si>
    <t>20681</t>
  </si>
  <si>
    <t>993123</t>
  </si>
  <si>
    <t>20684</t>
  </si>
  <si>
    <t>993126</t>
  </si>
  <si>
    <t>01/30/2026</t>
  </si>
  <si>
    <t>20821</t>
  </si>
  <si>
    <t>997984</t>
  </si>
  <si>
    <t>20825</t>
  </si>
  <si>
    <t>997988</t>
  </si>
  <si>
    <t>20822</t>
  </si>
  <si>
    <t>997985</t>
  </si>
  <si>
    <t>20823</t>
  </si>
  <si>
    <t>997986</t>
  </si>
  <si>
    <t>20827</t>
  </si>
  <si>
    <t>997990</t>
  </si>
  <si>
    <t>20820</t>
  </si>
  <si>
    <t>997983</t>
  </si>
  <si>
    <t>20826</t>
  </si>
  <si>
    <t>997989</t>
  </si>
  <si>
    <t>20816</t>
  </si>
  <si>
    <t>997982</t>
  </si>
  <si>
    <t>20824</t>
  </si>
  <si>
    <t>997987</t>
  </si>
  <si>
    <t>20815</t>
  </si>
  <si>
    <t>997981</t>
  </si>
  <si>
    <t>02/05/2026</t>
  </si>
  <si>
    <t>20907</t>
  </si>
  <si>
    <t>0105624</t>
  </si>
  <si>
    <t>20904</t>
  </si>
  <si>
    <t>0105621</t>
  </si>
  <si>
    <t>20905</t>
  </si>
  <si>
    <t>0105622</t>
  </si>
  <si>
    <t>20906</t>
  </si>
  <si>
    <t>0105623</t>
  </si>
  <si>
    <t>20908</t>
  </si>
  <si>
    <t>0105625</t>
  </si>
  <si>
    <t>Total for ALLSUPS 24 CASE</t>
  </si>
  <si>
    <t>FDCLUB 24 CASE</t>
  </si>
  <si>
    <t>01/29/2026</t>
  </si>
  <si>
    <t>20810</t>
  </si>
  <si>
    <t>FOOD CLUB 24 CASE</t>
  </si>
  <si>
    <t>997991</t>
  </si>
  <si>
    <t>20811</t>
  </si>
  <si>
    <t>997992</t>
  </si>
  <si>
    <t>20818</t>
  </si>
  <si>
    <t>997994</t>
  </si>
  <si>
    <t>20817</t>
  </si>
  <si>
    <t>997993</t>
  </si>
  <si>
    <t>20819</t>
  </si>
  <si>
    <t>997995</t>
  </si>
  <si>
    <t>02/04/2026</t>
  </si>
  <si>
    <t>20894</t>
  </si>
  <si>
    <t>0105612</t>
  </si>
  <si>
    <t>20895</t>
  </si>
  <si>
    <t>0105611</t>
  </si>
  <si>
    <t>20896</t>
  </si>
  <si>
    <t>0105613</t>
  </si>
  <si>
    <t>20897</t>
  </si>
  <si>
    <t>0105614</t>
  </si>
  <si>
    <t>20898</t>
  </si>
  <si>
    <t>0105615</t>
  </si>
  <si>
    <t>20902</t>
  </si>
  <si>
    <t>0105619</t>
  </si>
  <si>
    <t>20903</t>
  </si>
  <si>
    <t>0105620</t>
  </si>
  <si>
    <t>20900</t>
  </si>
  <si>
    <t>0105617</t>
  </si>
  <si>
    <t>20899</t>
  </si>
  <si>
    <t>0105616</t>
  </si>
  <si>
    <t>20901</t>
  </si>
  <si>
    <t>0105618</t>
  </si>
  <si>
    <t>Total for FDCLUB 24 CASE</t>
  </si>
  <si>
    <t>KING 40 CASE</t>
  </si>
  <si>
    <t>01/28/2026</t>
  </si>
  <si>
    <t>20768</t>
  </si>
  <si>
    <t>FOOD KING 40 CASE</t>
  </si>
  <si>
    <t>997959</t>
  </si>
  <si>
    <t>20766</t>
  </si>
  <si>
    <t>997956</t>
  </si>
  <si>
    <t>20763</t>
  </si>
  <si>
    <t>997953</t>
  </si>
  <si>
    <t>20764</t>
  </si>
  <si>
    <t>997954</t>
  </si>
  <si>
    <t>20767</t>
  </si>
  <si>
    <t>997958</t>
  </si>
  <si>
    <t>20765</t>
  </si>
  <si>
    <t>997955</t>
  </si>
  <si>
    <t>20769</t>
  </si>
  <si>
    <t>997957</t>
  </si>
  <si>
    <t>20806</t>
  </si>
  <si>
    <t>997961</t>
  </si>
  <si>
    <t>20809</t>
  </si>
  <si>
    <t>FOOD KING 24 CASE</t>
  </si>
  <si>
    <t>997965</t>
  </si>
  <si>
    <t>20807</t>
  </si>
  <si>
    <t>997962</t>
  </si>
  <si>
    <t>20808</t>
  </si>
  <si>
    <t>997964</t>
  </si>
  <si>
    <t>20805</t>
  </si>
  <si>
    <t>99760</t>
  </si>
  <si>
    <t>Total for KING 40 CASE</t>
  </si>
  <si>
    <t>LOW 24 CASE</t>
  </si>
  <si>
    <t>20686</t>
  </si>
  <si>
    <t>LOWES 24 CASE</t>
  </si>
  <si>
    <t>993175</t>
  </si>
  <si>
    <t>20687</t>
  </si>
  <si>
    <t>993176</t>
  </si>
  <si>
    <t>01/21/2026</t>
  </si>
  <si>
    <t>20719</t>
  </si>
  <si>
    <t>LOWES 40 CASE</t>
  </si>
  <si>
    <t>997977</t>
  </si>
  <si>
    <t>20716</t>
  </si>
  <si>
    <t>977974</t>
  </si>
  <si>
    <t>20722</t>
  </si>
  <si>
    <t>997980</t>
  </si>
  <si>
    <t>20712</t>
  </si>
  <si>
    <t>997970</t>
  </si>
  <si>
    <t>20717</t>
  </si>
  <si>
    <t>997975</t>
  </si>
  <si>
    <t>20721</t>
  </si>
  <si>
    <t>997979</t>
  </si>
  <si>
    <t>20710</t>
  </si>
  <si>
    <t>997968</t>
  </si>
  <si>
    <t>20711</t>
  </si>
  <si>
    <t>997969</t>
  </si>
  <si>
    <t>20714</t>
  </si>
  <si>
    <t>997972</t>
  </si>
  <si>
    <t>20713</t>
  </si>
  <si>
    <t>997971</t>
  </si>
  <si>
    <t>20715</t>
  </si>
  <si>
    <t>997973</t>
  </si>
  <si>
    <t>20709</t>
  </si>
  <si>
    <t>997967</t>
  </si>
  <si>
    <t>20718</t>
  </si>
  <si>
    <t>997976</t>
  </si>
  <si>
    <t>20720</t>
  </si>
  <si>
    <t>997978</t>
  </si>
  <si>
    <t>01/23/2026</t>
  </si>
  <si>
    <t>20691</t>
  </si>
  <si>
    <t>993178</t>
  </si>
  <si>
    <t>20704</t>
  </si>
  <si>
    <t>993191</t>
  </si>
  <si>
    <t>20701</t>
  </si>
  <si>
    <t>993188</t>
  </si>
  <si>
    <t>20697</t>
  </si>
  <si>
    <t>993184</t>
  </si>
  <si>
    <t>20702</t>
  </si>
  <si>
    <t>993189</t>
  </si>
  <si>
    <t>20703</t>
  </si>
  <si>
    <t>993190</t>
  </si>
  <si>
    <t>20693</t>
  </si>
  <si>
    <t>993180</t>
  </si>
  <si>
    <t>20708</t>
  </si>
  <si>
    <t>997966</t>
  </si>
  <si>
    <t>20699</t>
  </si>
  <si>
    <t>993186</t>
  </si>
  <si>
    <t>20707</t>
  </si>
  <si>
    <t>993194</t>
  </si>
  <si>
    <t>20700</t>
  </si>
  <si>
    <t>993187</t>
  </si>
  <si>
    <t>20695</t>
  </si>
  <si>
    <t>993182</t>
  </si>
  <si>
    <t>20698</t>
  </si>
  <si>
    <t>993185</t>
  </si>
  <si>
    <t>20694</t>
  </si>
  <si>
    <t>993181</t>
  </si>
  <si>
    <t>20692</t>
  </si>
  <si>
    <t>993179</t>
  </si>
  <si>
    <t>20690</t>
  </si>
  <si>
    <t>993177</t>
  </si>
  <si>
    <t>20696</t>
  </si>
  <si>
    <t>993183</t>
  </si>
  <si>
    <t>20705</t>
  </si>
  <si>
    <t>993192</t>
  </si>
  <si>
    <t>20706</t>
  </si>
  <si>
    <t>993193</t>
  </si>
  <si>
    <t>20912</t>
  </si>
  <si>
    <t>0105680</t>
  </si>
  <si>
    <t>20911</t>
  </si>
  <si>
    <t>0105679</t>
  </si>
  <si>
    <t>20909</t>
  </si>
  <si>
    <t>0105677</t>
  </si>
  <si>
    <t>20910</t>
  </si>
  <si>
    <t>0105678</t>
  </si>
  <si>
    <t>02/06/2026</t>
  </si>
  <si>
    <t>20924</t>
  </si>
  <si>
    <t>0105690</t>
  </si>
  <si>
    <t>20919</t>
  </si>
  <si>
    <t>0105685</t>
  </si>
  <si>
    <t>20931</t>
  </si>
  <si>
    <t>0105697</t>
  </si>
  <si>
    <t>20923</t>
  </si>
  <si>
    <t>0105689</t>
  </si>
  <si>
    <t>20929</t>
  </si>
  <si>
    <t>0105695</t>
  </si>
  <si>
    <t>20920</t>
  </si>
  <si>
    <t>0105686</t>
  </si>
  <si>
    <t>20926</t>
  </si>
  <si>
    <t>0105692</t>
  </si>
  <si>
    <t>20915</t>
  </si>
  <si>
    <t>0105681</t>
  </si>
  <si>
    <t>20930</t>
  </si>
  <si>
    <t>0105696</t>
  </si>
  <si>
    <t>20927</t>
  </si>
  <si>
    <t>0105693</t>
  </si>
  <si>
    <t>20922</t>
  </si>
  <si>
    <t>0105688</t>
  </si>
  <si>
    <t>20918</t>
  </si>
  <si>
    <t>0105684</t>
  </si>
  <si>
    <t>20933</t>
  </si>
  <si>
    <t>0105699</t>
  </si>
  <si>
    <t>20932</t>
  </si>
  <si>
    <t>0105698</t>
  </si>
  <si>
    <t>20916</t>
  </si>
  <si>
    <t>0105682</t>
  </si>
  <si>
    <t>20917</t>
  </si>
  <si>
    <t>0105683</t>
  </si>
  <si>
    <t>20925</t>
  </si>
  <si>
    <t>0105691</t>
  </si>
  <si>
    <t>20928</t>
  </si>
  <si>
    <t>0105694</t>
  </si>
  <si>
    <t>20921</t>
  </si>
  <si>
    <t>0105687</t>
  </si>
  <si>
    <t>02/07/2026</t>
  </si>
  <si>
    <t>20953</t>
  </si>
  <si>
    <t>0105701</t>
  </si>
  <si>
    <t>02/10/2026</t>
  </si>
  <si>
    <t>20968-C</t>
  </si>
  <si>
    <t>0105675</t>
  </si>
  <si>
    <t>20969-C</t>
  </si>
  <si>
    <t>0105676</t>
  </si>
  <si>
    <t>Total for LOW 24 CASE</t>
  </si>
  <si>
    <t>LOW 40 CASE</t>
  </si>
  <si>
    <t>20965</t>
  </si>
  <si>
    <t>0105673</t>
  </si>
  <si>
    <t>20959</t>
  </si>
  <si>
    <t>0105668</t>
  </si>
  <si>
    <t>20964</t>
  </si>
  <si>
    <t>0105672</t>
  </si>
  <si>
    <t>20966</t>
  </si>
  <si>
    <t>0105674</t>
  </si>
  <si>
    <t>20961</t>
  </si>
  <si>
    <t>0105669</t>
  </si>
  <si>
    <t>20954</t>
  </si>
  <si>
    <t>0105662</t>
  </si>
  <si>
    <t>20952C</t>
  </si>
  <si>
    <t>0105700</t>
  </si>
  <si>
    <t>20951C</t>
  </si>
  <si>
    <t>20955</t>
  </si>
  <si>
    <t>0105663</t>
  </si>
  <si>
    <t>20958</t>
  </si>
  <si>
    <t>0105666</t>
  </si>
  <si>
    <t>20962</t>
  </si>
  <si>
    <t>0105670</t>
  </si>
  <si>
    <t>20960</t>
  </si>
  <si>
    <t>0105667</t>
  </si>
  <si>
    <t>20957</t>
  </si>
  <si>
    <t>0105665</t>
  </si>
  <si>
    <t>20963</t>
  </si>
  <si>
    <t>0105671</t>
  </si>
  <si>
    <t>20956</t>
  </si>
  <si>
    <t>0105664</t>
  </si>
  <si>
    <t>Total for LOW 40 CASE</t>
  </si>
  <si>
    <t>PLAINS 24 CASE</t>
  </si>
  <si>
    <t>20770</t>
  </si>
  <si>
    <t>1338</t>
  </si>
  <si>
    <t>PLAINS DAIRY, LLC</t>
  </si>
  <si>
    <t>Total for PLAINS 24 CASE</t>
  </si>
  <si>
    <t>PPL 24 CASE</t>
  </si>
  <si>
    <t>20864</t>
  </si>
  <si>
    <t>FLI01202026</t>
  </si>
  <si>
    <t>FASTLANE ICE LLC</t>
  </si>
  <si>
    <t>20812</t>
  </si>
  <si>
    <t>AIC01282026</t>
  </si>
  <si>
    <t>Amarillo Ice Company</t>
  </si>
  <si>
    <t>20914</t>
  </si>
  <si>
    <t>WW01232026</t>
  </si>
  <si>
    <t>THE WATER WORKS</t>
  </si>
  <si>
    <t>01/31/2026</t>
  </si>
  <si>
    <t>20842</t>
  </si>
  <si>
    <t>997898</t>
  </si>
  <si>
    <t>20846</t>
  </si>
  <si>
    <t>997901</t>
  </si>
  <si>
    <t>20837</t>
  </si>
  <si>
    <t>997893</t>
  </si>
  <si>
    <t>20843</t>
  </si>
  <si>
    <t>997900</t>
  </si>
  <si>
    <t>20833</t>
  </si>
  <si>
    <t>997889</t>
  </si>
  <si>
    <t>20847</t>
  </si>
  <si>
    <t>997903</t>
  </si>
  <si>
    <t>20844</t>
  </si>
  <si>
    <t>997899</t>
  </si>
  <si>
    <t>20830</t>
  </si>
  <si>
    <t>997886</t>
  </si>
  <si>
    <t>20839</t>
  </si>
  <si>
    <t>997895</t>
  </si>
  <si>
    <t>20831</t>
  </si>
  <si>
    <t>997887</t>
  </si>
  <si>
    <t>20832</t>
  </si>
  <si>
    <t>997888</t>
  </si>
  <si>
    <t>20841</t>
  </si>
  <si>
    <t>997896</t>
  </si>
  <si>
    <t>20834</t>
  </si>
  <si>
    <t>997890</t>
  </si>
  <si>
    <t>20835</t>
  </si>
  <si>
    <t>997891</t>
  </si>
  <si>
    <t>20836</t>
  </si>
  <si>
    <t>997892</t>
  </si>
  <si>
    <t>20838</t>
  </si>
  <si>
    <t>997894</t>
  </si>
  <si>
    <t>20845</t>
  </si>
  <si>
    <t>997902</t>
  </si>
  <si>
    <t>20840</t>
  </si>
  <si>
    <t>997897</t>
  </si>
  <si>
    <t>20848</t>
  </si>
  <si>
    <t>997904</t>
  </si>
  <si>
    <t>02/02/2026</t>
  </si>
  <si>
    <t>20850</t>
  </si>
  <si>
    <t>997906</t>
  </si>
  <si>
    <t>20852</t>
  </si>
  <si>
    <t>997905</t>
  </si>
  <si>
    <t>20858</t>
  </si>
  <si>
    <t>997914</t>
  </si>
  <si>
    <t>20859</t>
  </si>
  <si>
    <t>997915</t>
  </si>
  <si>
    <t>20853</t>
  </si>
  <si>
    <t>997909</t>
  </si>
  <si>
    <t>20856</t>
  </si>
  <si>
    <t>997912</t>
  </si>
  <si>
    <t>20860</t>
  </si>
  <si>
    <t>997908</t>
  </si>
  <si>
    <t>20855</t>
  </si>
  <si>
    <t>997911</t>
  </si>
  <si>
    <t>20851</t>
  </si>
  <si>
    <t>997907</t>
  </si>
  <si>
    <t>20861</t>
  </si>
  <si>
    <t>0105627</t>
  </si>
  <si>
    <t>20854</t>
  </si>
  <si>
    <t>997910</t>
  </si>
  <si>
    <t>20857</t>
  </si>
  <si>
    <t>997913</t>
  </si>
  <si>
    <t>02/03/2026</t>
  </si>
  <si>
    <t>20878</t>
  </si>
  <si>
    <t>0105641</t>
  </si>
  <si>
    <t>20867</t>
  </si>
  <si>
    <t>0105630</t>
  </si>
  <si>
    <t>20877</t>
  </si>
  <si>
    <t>0105640</t>
  </si>
  <si>
    <t>20879</t>
  </si>
  <si>
    <t>0105642</t>
  </si>
  <si>
    <t>20870</t>
  </si>
  <si>
    <t>0105633</t>
  </si>
  <si>
    <t>20871</t>
  </si>
  <si>
    <t>0105634</t>
  </si>
  <si>
    <t>20876</t>
  </si>
  <si>
    <t>0105639</t>
  </si>
  <si>
    <t>20866</t>
  </si>
  <si>
    <t>0105629</t>
  </si>
  <si>
    <t>20872</t>
  </si>
  <si>
    <t>0105635</t>
  </si>
  <si>
    <t>20874</t>
  </si>
  <si>
    <t>0105637</t>
  </si>
  <si>
    <t>20880</t>
  </si>
  <si>
    <t>0105643</t>
  </si>
  <si>
    <t>20868</t>
  </si>
  <si>
    <t>0105631</t>
  </si>
  <si>
    <t>20869</t>
  </si>
  <si>
    <t>0105632</t>
  </si>
  <si>
    <t>20865</t>
  </si>
  <si>
    <t>0105628</t>
  </si>
  <si>
    <t>20875</t>
  </si>
  <si>
    <t>0105638</t>
  </si>
  <si>
    <t>20882</t>
  </si>
  <si>
    <t>0105645</t>
  </si>
  <si>
    <t>20887</t>
  </si>
  <si>
    <t>0105650</t>
  </si>
  <si>
    <t>20891</t>
  </si>
  <si>
    <t>0105654</t>
  </si>
  <si>
    <t>20892</t>
  </si>
  <si>
    <t>0105655</t>
  </si>
  <si>
    <t>20893</t>
  </si>
  <si>
    <t>0105656</t>
  </si>
  <si>
    <t>20888</t>
  </si>
  <si>
    <t>0105651</t>
  </si>
  <si>
    <t>20889</t>
  </si>
  <si>
    <t>0105652</t>
  </si>
  <si>
    <t>20890</t>
  </si>
  <si>
    <t>0105653</t>
  </si>
  <si>
    <t>20883</t>
  </si>
  <si>
    <t>0105646</t>
  </si>
  <si>
    <t>20884</t>
  </si>
  <si>
    <t>0105647</t>
  </si>
  <si>
    <t>20885</t>
  </si>
  <si>
    <t>0105648</t>
  </si>
  <si>
    <t>20886</t>
  </si>
  <si>
    <t>0105649</t>
  </si>
  <si>
    <t>20813</t>
  </si>
  <si>
    <t>1344</t>
  </si>
  <si>
    <t>Total for PPL 24 CASE</t>
  </si>
  <si>
    <t>PPL 40 CASE</t>
  </si>
  <si>
    <t>20724</t>
  </si>
  <si>
    <t>997921</t>
  </si>
  <si>
    <t>20723</t>
  </si>
  <si>
    <t>997920</t>
  </si>
  <si>
    <t>20725</t>
  </si>
  <si>
    <t>997922</t>
  </si>
  <si>
    <t>01/22/2026</t>
  </si>
  <si>
    <t>20739</t>
  </si>
  <si>
    <t>997936</t>
  </si>
  <si>
    <t>20734</t>
  </si>
  <si>
    <t>997931</t>
  </si>
  <si>
    <t>20731</t>
  </si>
  <si>
    <t>997928</t>
  </si>
  <si>
    <t>20740</t>
  </si>
  <si>
    <t>997937</t>
  </si>
  <si>
    <t>20738</t>
  </si>
  <si>
    <t>997935</t>
  </si>
  <si>
    <t>20732</t>
  </si>
  <si>
    <t>997929</t>
  </si>
  <si>
    <t>20729</t>
  </si>
  <si>
    <t>997926</t>
  </si>
  <si>
    <t>20735</t>
  </si>
  <si>
    <t>997932</t>
  </si>
  <si>
    <t>20726</t>
  </si>
  <si>
    <t>997923</t>
  </si>
  <si>
    <t>20743</t>
  </si>
  <si>
    <t>997940</t>
  </si>
  <si>
    <t>20742</t>
  </si>
  <si>
    <t>997939</t>
  </si>
  <si>
    <t>20744</t>
  </si>
  <si>
    <t>997941</t>
  </si>
  <si>
    <t>20733</t>
  </si>
  <si>
    <t>997930</t>
  </si>
  <si>
    <t>20730</t>
  </si>
  <si>
    <t>997927</t>
  </si>
  <si>
    <t>20736</t>
  </si>
  <si>
    <t>997933</t>
  </si>
  <si>
    <t>20727</t>
  </si>
  <si>
    <t>997924</t>
  </si>
  <si>
    <t>20737</t>
  </si>
  <si>
    <t>997934</t>
  </si>
  <si>
    <t>20741</t>
  </si>
  <si>
    <t>997938</t>
  </si>
  <si>
    <t>20728</t>
  </si>
  <si>
    <t>997925</t>
  </si>
  <si>
    <t>20756</t>
  </si>
  <si>
    <t>997943</t>
  </si>
  <si>
    <t>20758</t>
  </si>
  <si>
    <t>997945</t>
  </si>
  <si>
    <t>20757</t>
  </si>
  <si>
    <t>997944</t>
  </si>
  <si>
    <t>20755</t>
  </si>
  <si>
    <t>997942</t>
  </si>
  <si>
    <t>01/26/2026</t>
  </si>
  <si>
    <t>20759</t>
  </si>
  <si>
    <t>997946</t>
  </si>
  <si>
    <t>20761</t>
  </si>
  <si>
    <t>997948</t>
  </si>
  <si>
    <t>20760</t>
  </si>
  <si>
    <t>997947</t>
  </si>
  <si>
    <t>20762</t>
  </si>
  <si>
    <t>997949</t>
  </si>
  <si>
    <t>20977</t>
  </si>
  <si>
    <t>0109623</t>
  </si>
  <si>
    <t>20971</t>
  </si>
  <si>
    <t>0109017</t>
  </si>
  <si>
    <t>20975</t>
  </si>
  <si>
    <t>0109621</t>
  </si>
  <si>
    <t>20972</t>
  </si>
  <si>
    <t>0109618</t>
  </si>
  <si>
    <t>20976</t>
  </si>
  <si>
    <t>0109622</t>
  </si>
  <si>
    <t>20973</t>
  </si>
  <si>
    <t>0109619</t>
  </si>
  <si>
    <t>20974</t>
  </si>
  <si>
    <t>0109620</t>
  </si>
  <si>
    <t>20967</t>
  </si>
  <si>
    <t>0109615</t>
  </si>
  <si>
    <t>20970</t>
  </si>
  <si>
    <t>0109616</t>
  </si>
  <si>
    <t>02/11/2026</t>
  </si>
  <si>
    <t>20983</t>
  </si>
  <si>
    <t>109624</t>
  </si>
  <si>
    <t>20985</t>
  </si>
  <si>
    <t>10926</t>
  </si>
  <si>
    <t>20984</t>
  </si>
  <si>
    <t>109625</t>
  </si>
  <si>
    <t>Total for PPL 40 CASE</t>
  </si>
  <si>
    <t>Services</t>
  </si>
  <si>
    <t>01/20/2026</t>
  </si>
  <si>
    <t>20752</t>
  </si>
  <si>
    <t xml:space="preserve">PANHANDLE PURE 24 CASE </t>
  </si>
  <si>
    <t>4506081637 - Gonzales, Rolando</t>
  </si>
  <si>
    <t>Border States</t>
  </si>
  <si>
    <t>20753</t>
  </si>
  <si>
    <t>PANHANDLE PURE 24 CASE</t>
  </si>
  <si>
    <t>4506081703 - Gonzales, Rolando</t>
  </si>
  <si>
    <t>20750</t>
  </si>
  <si>
    <t>Spring House 24 CASE</t>
  </si>
  <si>
    <t>1162025OK</t>
  </si>
  <si>
    <t>SPRING HOUSE WATER COMPANY, INC.</t>
  </si>
  <si>
    <t>20751</t>
  </si>
  <si>
    <t xml:space="preserve">Spring House 24 Case </t>
  </si>
  <si>
    <t>1162026TX - Justin Looney,</t>
  </si>
  <si>
    <t>20754</t>
  </si>
  <si>
    <t xml:space="preserve">PPL 24 CASE </t>
  </si>
  <si>
    <t>Ruben</t>
  </si>
  <si>
    <t>DOCK SALES</t>
  </si>
  <si>
    <t>20800</t>
  </si>
  <si>
    <t xml:space="preserve">Juniors </t>
  </si>
  <si>
    <t>997916</t>
  </si>
  <si>
    <t>20801</t>
  </si>
  <si>
    <t>Juniors 24 Case</t>
  </si>
  <si>
    <t>997917</t>
  </si>
  <si>
    <t>20802</t>
  </si>
  <si>
    <t>997918</t>
  </si>
  <si>
    <t>20803</t>
  </si>
  <si>
    <t>997919</t>
  </si>
  <si>
    <t>20881</t>
  </si>
  <si>
    <t>PP 24 CASE</t>
  </si>
  <si>
    <t>0105644</t>
  </si>
  <si>
    <t>20873</t>
  </si>
  <si>
    <t>0105636</t>
  </si>
  <si>
    <t>20849</t>
  </si>
  <si>
    <t xml:space="preserve">Panhandle Pure 24 Case </t>
  </si>
  <si>
    <t>DAVID</t>
  </si>
  <si>
    <t>County Waste Services</t>
  </si>
  <si>
    <t>20862</t>
  </si>
  <si>
    <t>Brian Hulsey</t>
  </si>
  <si>
    <t>20863</t>
  </si>
  <si>
    <t>WILEY HICK CONST - JUSTIN GRAVE</t>
  </si>
  <si>
    <t>20987</t>
  </si>
  <si>
    <t>PPL 24 CASSE</t>
  </si>
  <si>
    <t>FLI#02022026</t>
  </si>
  <si>
    <t>20988</t>
  </si>
  <si>
    <t xml:space="preserve">TOOT N TOTUM </t>
  </si>
  <si>
    <t>1439</t>
  </si>
  <si>
    <t>20989</t>
  </si>
  <si>
    <t>FLI#02102026 CROSS 49 SUPPLY</t>
  </si>
  <si>
    <t>20950</t>
  </si>
  <si>
    <t>PPL 24</t>
  </si>
  <si>
    <t>MidWest Fab &amp; Construction Greg</t>
  </si>
  <si>
    <t>20986</t>
  </si>
  <si>
    <t>4506086709</t>
  </si>
  <si>
    <t>20990</t>
  </si>
  <si>
    <t>WW#02022026</t>
  </si>
  <si>
    <t>02/13/2026</t>
  </si>
  <si>
    <t>21001</t>
  </si>
  <si>
    <t xml:space="preserve">Toot n Totum </t>
  </si>
  <si>
    <t>1452</t>
  </si>
  <si>
    <t>Total for Services</t>
  </si>
  <si>
    <t>TOOT'N TOTUM 24 CASE</t>
  </si>
  <si>
    <t>20913</t>
  </si>
  <si>
    <t>TOOTN TOTUM 24 CASE</t>
  </si>
  <si>
    <t>1397</t>
  </si>
  <si>
    <t>Total for TOOT'N TOTUM 24 CASE</t>
  </si>
  <si>
    <t xml:space="preserve"> Wednesday, February 18, 2026 02:27 PM GMT-06:00</t>
  </si>
  <si>
    <t>AMOUNT</t>
  </si>
  <si>
    <t>P.O. NUMBER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</si>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</sst>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1"/>
  </cellStyleXfs>
  <cellXfs count="29">
    <xf numFmtId="0" fontId="0" fillId="0" borderId="0" xfId="0"/>
    <xf numFmtId="0" fontId="1" fillId="0" borderId="0" xfId="1" applyAlignment="1">
      <alignment wrapText="1"/>
    </xf>
    <xf numFmtId="0" fontId="1" fillId="0" borderId="0" xfId="1"/>
    <xf numFmtId="0" fontId="5" fillId="0" borderId="1" xfId="2" applyFont="1" applyAlignment="1">
      <alignment horizontal="center" wrapText="1"/>
    </xf>
    <xf numFmtId="0" fontId="6" fillId="0" borderId="0" xfId="1" applyFont="1" applyAlignment="1">
      <alignment horizontal="left" wrapText="1"/>
    </xf>
    <xf numFmtId="0" fontId="6" fillId="0" borderId="0" xfId="1" applyFont="1" applyAlignment="1">
      <alignment wrapText="1"/>
    </xf>
    <xf numFmtId="4" fontId="6" fillId="0" borderId="0" xfId="1" applyNumberFormat="1" applyFont="1" applyAlignment="1">
      <alignment wrapText="1"/>
    </xf>
    <xf numFmtId="0" fontId="7" fillId="0" borderId="0" xfId="1" applyFont="1" applyAlignment="1">
      <alignment horizontal="left" wrapText="1"/>
    </xf>
    <xf numFmtId="4" fontId="8" fillId="2" borderId="2" xfId="1" applyNumberFormat="1" applyFont="1" applyFill="1" applyBorder="1" applyAlignment="1">
      <alignment wrapText="1"/>
    </xf>
    <xf numFmtId="164" fontId="8" fillId="2" borderId="2" xfId="1" applyNumberFormat="1" applyFont="1" applyFill="1" applyBorder="1" applyAlignment="1">
      <alignment wrapText="1"/>
    </xf>
    <xf numFmtId="4" fontId="6" fillId="3" borderId="0" xfId="1" applyNumberFormat="1" applyFont="1" applyFill="1" applyAlignment="1">
      <alignment wrapText="1"/>
    </xf>
    <xf numFmtId="4" fontId="6" fillId="4" borderId="0" xfId="1" applyNumberFormat="1" applyFont="1" applyFill="1" applyAlignment="1">
      <alignment wrapText="1"/>
    </xf>
    <xf numFmtId="4" fontId="7" fillId="0" borderId="2" xfId="1" applyNumberFormat="1" applyFont="1" applyBorder="1" applyAlignment="1">
      <alignment wrapText="1"/>
    </xf>
    <xf numFmtId="164" fontId="7" fillId="0" borderId="2" xfId="1" applyNumberFormat="1" applyFont="1" applyBorder="1" applyAlignment="1">
      <alignment wrapText="1"/>
    </xf>
    <xf numFmtId="0" fontId="6" fillId="4" borderId="0" xfId="1" applyFont="1" applyFill="1" applyAlignment="1">
      <alignment wrapText="1"/>
    </xf>
    <xf numFmtId="4" fontId="9" fillId="4" borderId="0" xfId="1" applyNumberFormat="1" applyFont="1" applyFill="1" applyAlignment="1">
      <alignment wrapText="1"/>
    </xf>
    <xf numFmtId="0" fontId="6" fillId="5" borderId="0" xfId="1" applyFont="1" applyFill="1" applyAlignment="1">
      <alignment wrapText="1"/>
    </xf>
    <xf numFmtId="4" fontId="9" fillId="5" borderId="0" xfId="1" applyNumberFormat="1" applyFont="1" applyFill="1" applyAlignment="1">
      <alignment wrapText="1"/>
    </xf>
    <xf numFmtId="0" fontId="10" fillId="6" borderId="0" xfId="1" applyFont="1" applyFill="1" applyAlignment="1">
      <alignment wrapText="1"/>
    </xf>
    <xf numFmtId="4" fontId="10" fillId="6" borderId="0" xfId="1" applyNumberFormat="1" applyFont="1" applyFill="1" applyAlignment="1">
      <alignment wrapText="1"/>
    </xf>
    <xf numFmtId="4" fontId="9" fillId="7" borderId="2" xfId="1" applyNumberFormat="1" applyFont="1" applyFill="1" applyBorder="1" applyAlignment="1">
      <alignment wrapText="1"/>
    </xf>
    <xf numFmtId="4" fontId="8" fillId="8" borderId="2" xfId="1" applyNumberFormat="1" applyFont="1" applyFill="1" applyBorder="1" applyAlignment="1">
      <alignment wrapText="1"/>
    </xf>
    <xf numFmtId="0" fontId="10" fillId="7" borderId="0" xfId="1" applyFont="1" applyFill="1" applyAlignment="1">
      <alignment wrapText="1"/>
    </xf>
    <xf numFmtId="4" fontId="10" fillId="7" borderId="0" xfId="1" applyNumberFormat="1" applyFont="1" applyFill="1" applyAlignment="1">
      <alignment wrapText="1"/>
    </xf>
    <xf numFmtId="4" fontId="6" fillId="9" borderId="0" xfId="1" applyNumberFormat="1" applyFont="1" applyFill="1" applyAlignment="1">
      <alignment wrapText="1"/>
    </xf>
    <xf numFmtId="0" fontId="2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3" fillId="0" borderId="0" xfId="1" applyFont="1" applyAlignment="1">
      <alignment horizontal="center" wrapText="1"/>
    </xf>
    <xf numFmtId="0" fontId="6" fillId="0" borderId="0" xfId="1" applyFont="1" applyAlignment="1">
      <alignment horizontal="center" wrapText="1"/>
    </xf>
  </cellXfs>
  <cellStyles count="3">
    <cellStyle name="HeaderCellStyle" xfId="2" xr:uid="{C196A83B-0D9B-4C1C-B1F0-78C1D269FAD8}"/>
    <cellStyle name="Normal" xfId="0" builtinId="0"/>
    <cellStyle name="Normal 2" xfId="1" xr:uid="{6E4DCD68-61D9-4B8A-AFE2-8C3B4ECD34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8C8A-AB84-4540-BC12-C1A67DD9ED2D}">
  <dimension ref="A1:H287"/>
  <sheetViews>
    <sheetView tabSelected="1" workbookViewId="0">
      <selection activeCell="E11" sqref="E11"/>
    </sheetView>
  </sheetViews>
  <sheetFormatPr defaultColWidth="12.81640625" defaultRowHeight="16" outlineLevelRow="1" x14ac:dyDescent="0.4"/>
  <cols>
    <col min="1" max="1" width="30.1796875" style="1" customWidth="1"/>
    <col min="2" max="2" width="10.54296875" style="1" customWidth="1"/>
    <col min="3" max="3" width="8.54296875" style="1" customWidth="1"/>
    <col min="4" max="4" width="23.26953125" style="1" customWidth="1"/>
    <col min="5" max="5" width="31.1796875" style="1" customWidth="1"/>
    <col min="6" max="6" width="32.1796875" style="1" customWidth="1"/>
    <col min="7" max="7" width="11.453125" style="1" bestFit="1" customWidth="1"/>
    <col min="8" max="8" width="18.453125" style="1" customWidth="1"/>
    <col min="9" max="16384" width="12.81640625" style="2"/>
  </cols>
  <sheetData>
    <row r="1" spans="1:8" x14ac:dyDescent="0.4">
      <c r="A1" s="25" t="s">
        <v>0</v>
      </c>
      <c r="B1" s="26"/>
      <c r="C1" s="26"/>
      <c r="D1" s="26"/>
      <c r="E1" s="26"/>
      <c r="F1" s="26"/>
      <c r="G1" s="26"/>
    </row>
    <row r="2" spans="1:8" x14ac:dyDescent="0.4">
      <c r="A2" s="27" t="s">
        <v>1</v>
      </c>
      <c r="B2" s="26"/>
      <c r="C2" s="26"/>
      <c r="D2" s="26"/>
      <c r="E2" s="26"/>
      <c r="F2" s="26"/>
      <c r="G2" s="26"/>
    </row>
    <row r="4" spans="1:8" x14ac:dyDescent="0.4">
      <c r="B4" s="3" t="s">
        <v>2</v>
      </c>
      <c r="C4" s="3" t="s">
        <v>3</v>
      </c>
      <c r="D4" s="3" t="s">
        <v>4</v>
      </c>
      <c r="E4" s="3" t="s">
        <v>592</v>
      </c>
      <c r="F4" s="3" t="s">
        <v>5</v>
      </c>
      <c r="G4" s="3" t="s">
        <v>593</v>
      </c>
      <c r="H4" s="3" t="s">
        <v>591</v>
      </c>
    </row>
    <row r="5" spans="1:8" x14ac:dyDescent="0.4">
      <c r="A5" s="4" t="s">
        <v>6</v>
      </c>
    </row>
    <row r="6" spans="1:8" outlineLevel="1" x14ac:dyDescent="0.4">
      <c r="B6" s="5" t="s">
        <v>7</v>
      </c>
      <c r="C6" s="5" t="s">
        <v>8</v>
      </c>
      <c r="D6" s="5" t="s">
        <v>6</v>
      </c>
      <c r="E6" s="5" t="s">
        <v>9</v>
      </c>
      <c r="F6" s="5" t="s">
        <v>10</v>
      </c>
      <c r="G6" s="6">
        <v>1848</v>
      </c>
      <c r="H6" s="6">
        <v>3836.58</v>
      </c>
    </row>
    <row r="7" spans="1:8" outlineLevel="1" x14ac:dyDescent="0.4">
      <c r="B7" s="5" t="s">
        <v>7</v>
      </c>
      <c r="C7" s="5" t="s">
        <v>11</v>
      </c>
      <c r="D7" s="5" t="s">
        <v>6</v>
      </c>
      <c r="E7" s="5" t="s">
        <v>12</v>
      </c>
      <c r="F7" s="5" t="s">
        <v>10</v>
      </c>
      <c r="G7" s="6">
        <v>1848</v>
      </c>
      <c r="H7" s="6">
        <v>3836.58</v>
      </c>
    </row>
    <row r="8" spans="1:8" outlineLevel="1" x14ac:dyDescent="0.4">
      <c r="B8" s="5" t="s">
        <v>7</v>
      </c>
      <c r="C8" s="5" t="s">
        <v>13</v>
      </c>
      <c r="D8" s="5" t="s">
        <v>6</v>
      </c>
      <c r="E8" s="5" t="s">
        <v>14</v>
      </c>
      <c r="F8" s="5" t="s">
        <v>10</v>
      </c>
      <c r="G8" s="6">
        <v>1848</v>
      </c>
      <c r="H8" s="6">
        <v>3836.58</v>
      </c>
    </row>
    <row r="9" spans="1:8" outlineLevel="1" x14ac:dyDescent="0.4">
      <c r="B9" s="5" t="s">
        <v>7</v>
      </c>
      <c r="C9" s="5" t="s">
        <v>15</v>
      </c>
      <c r="D9" s="5" t="s">
        <v>6</v>
      </c>
      <c r="E9" s="5" t="s">
        <v>16</v>
      </c>
      <c r="F9" s="5" t="s">
        <v>10</v>
      </c>
      <c r="G9" s="6">
        <v>1848</v>
      </c>
      <c r="H9" s="6">
        <v>3836.58</v>
      </c>
    </row>
    <row r="10" spans="1:8" outlineLevel="1" x14ac:dyDescent="0.4">
      <c r="B10" s="5" t="s">
        <v>7</v>
      </c>
      <c r="C10" s="5" t="s">
        <v>17</v>
      </c>
      <c r="D10" s="5" t="s">
        <v>6</v>
      </c>
      <c r="E10" s="5" t="s">
        <v>18</v>
      </c>
      <c r="F10" s="5" t="s">
        <v>10</v>
      </c>
      <c r="G10" s="6">
        <v>1848</v>
      </c>
      <c r="H10" s="6">
        <v>3836.58</v>
      </c>
    </row>
    <row r="11" spans="1:8" outlineLevel="1" x14ac:dyDescent="0.4">
      <c r="B11" s="5" t="s">
        <v>7</v>
      </c>
      <c r="C11" s="5" t="s">
        <v>19</v>
      </c>
      <c r="D11" s="5" t="s">
        <v>6</v>
      </c>
      <c r="E11" s="5" t="s">
        <v>20</v>
      </c>
      <c r="F11" s="5" t="s">
        <v>10</v>
      </c>
      <c r="G11" s="6">
        <v>1848</v>
      </c>
      <c r="H11" s="6">
        <v>3836.58</v>
      </c>
    </row>
    <row r="12" spans="1:8" outlineLevel="1" x14ac:dyDescent="0.4">
      <c r="B12" s="5" t="s">
        <v>7</v>
      </c>
      <c r="C12" s="5" t="s">
        <v>21</v>
      </c>
      <c r="D12" s="5" t="s">
        <v>6</v>
      </c>
      <c r="E12" s="5" t="s">
        <v>22</v>
      </c>
      <c r="F12" s="5" t="s">
        <v>10</v>
      </c>
      <c r="G12" s="6">
        <v>1848</v>
      </c>
      <c r="H12" s="6">
        <v>3836.58</v>
      </c>
    </row>
    <row r="13" spans="1:8" outlineLevel="1" x14ac:dyDescent="0.4">
      <c r="B13" s="5" t="s">
        <v>7</v>
      </c>
      <c r="C13" s="5" t="s">
        <v>23</v>
      </c>
      <c r="D13" s="5" t="s">
        <v>6</v>
      </c>
      <c r="E13" s="5" t="s">
        <v>24</v>
      </c>
      <c r="F13" s="5" t="s">
        <v>10</v>
      </c>
      <c r="G13" s="6">
        <v>1848</v>
      </c>
      <c r="H13" s="6">
        <v>3836.58</v>
      </c>
    </row>
    <row r="14" spans="1:8" outlineLevel="1" x14ac:dyDescent="0.4">
      <c r="B14" s="5" t="s">
        <v>7</v>
      </c>
      <c r="C14" s="5" t="s">
        <v>25</v>
      </c>
      <c r="D14" s="5" t="s">
        <v>6</v>
      </c>
      <c r="E14" s="5" t="s">
        <v>26</v>
      </c>
      <c r="F14" s="5" t="s">
        <v>10</v>
      </c>
      <c r="G14" s="6">
        <v>1848</v>
      </c>
      <c r="H14" s="6">
        <v>3836.58</v>
      </c>
    </row>
    <row r="15" spans="1:8" outlineLevel="1" x14ac:dyDescent="0.4">
      <c r="B15" s="5" t="s">
        <v>7</v>
      </c>
      <c r="C15" s="5" t="s">
        <v>27</v>
      </c>
      <c r="D15" s="5" t="s">
        <v>6</v>
      </c>
      <c r="E15" s="5" t="s">
        <v>28</v>
      </c>
      <c r="F15" s="5" t="s">
        <v>10</v>
      </c>
      <c r="G15" s="6">
        <v>1848</v>
      </c>
      <c r="H15" s="6">
        <v>3836.58</v>
      </c>
    </row>
    <row r="16" spans="1:8" outlineLevel="1" x14ac:dyDescent="0.4">
      <c r="B16" s="5" t="s">
        <v>7</v>
      </c>
      <c r="C16" s="5" t="s">
        <v>29</v>
      </c>
      <c r="D16" s="5" t="s">
        <v>6</v>
      </c>
      <c r="E16" s="5" t="s">
        <v>30</v>
      </c>
      <c r="F16" s="5" t="s">
        <v>10</v>
      </c>
      <c r="G16" s="6">
        <v>1848</v>
      </c>
      <c r="H16" s="6">
        <v>3836.58</v>
      </c>
    </row>
    <row r="17" spans="2:8" outlineLevel="1" x14ac:dyDescent="0.4">
      <c r="B17" s="5" t="s">
        <v>7</v>
      </c>
      <c r="C17" s="5" t="s">
        <v>31</v>
      </c>
      <c r="D17" s="5" t="s">
        <v>6</v>
      </c>
      <c r="E17" s="5" t="s">
        <v>32</v>
      </c>
      <c r="F17" s="5" t="s">
        <v>10</v>
      </c>
      <c r="G17" s="6">
        <v>1848</v>
      </c>
      <c r="H17" s="6">
        <v>3836.58</v>
      </c>
    </row>
    <row r="18" spans="2:8" outlineLevel="1" x14ac:dyDescent="0.4">
      <c r="B18" s="5" t="s">
        <v>7</v>
      </c>
      <c r="C18" s="5" t="s">
        <v>33</v>
      </c>
      <c r="D18" s="5" t="s">
        <v>6</v>
      </c>
      <c r="E18" s="5" t="s">
        <v>34</v>
      </c>
      <c r="F18" s="5" t="s">
        <v>10</v>
      </c>
      <c r="G18" s="6">
        <v>1848</v>
      </c>
      <c r="H18" s="6">
        <v>3836.58</v>
      </c>
    </row>
    <row r="19" spans="2:8" outlineLevel="1" x14ac:dyDescent="0.4">
      <c r="B19" s="5" t="s">
        <v>7</v>
      </c>
      <c r="C19" s="5" t="s">
        <v>35</v>
      </c>
      <c r="D19" s="5" t="s">
        <v>6</v>
      </c>
      <c r="E19" s="5" t="s">
        <v>36</v>
      </c>
      <c r="F19" s="5" t="s">
        <v>10</v>
      </c>
      <c r="G19" s="6">
        <v>1848</v>
      </c>
      <c r="H19" s="6">
        <v>3836.58</v>
      </c>
    </row>
    <row r="20" spans="2:8" outlineLevel="1" x14ac:dyDescent="0.4">
      <c r="B20" s="5" t="s">
        <v>37</v>
      </c>
      <c r="C20" s="5" t="s">
        <v>38</v>
      </c>
      <c r="D20" s="5" t="s">
        <v>6</v>
      </c>
      <c r="E20" s="5" t="s">
        <v>39</v>
      </c>
      <c r="F20" s="5" t="s">
        <v>10</v>
      </c>
      <c r="G20" s="6">
        <v>1848</v>
      </c>
      <c r="H20" s="6">
        <v>3836.58</v>
      </c>
    </row>
    <row r="21" spans="2:8" outlineLevel="1" x14ac:dyDescent="0.4">
      <c r="B21" s="5" t="s">
        <v>37</v>
      </c>
      <c r="C21" s="5" t="s">
        <v>40</v>
      </c>
      <c r="D21" s="5" t="s">
        <v>6</v>
      </c>
      <c r="E21" s="5" t="s">
        <v>41</v>
      </c>
      <c r="F21" s="5" t="s">
        <v>10</v>
      </c>
      <c r="G21" s="6">
        <v>1848</v>
      </c>
      <c r="H21" s="6">
        <v>3836.58</v>
      </c>
    </row>
    <row r="22" spans="2:8" outlineLevel="1" x14ac:dyDescent="0.4">
      <c r="B22" s="5" t="s">
        <v>37</v>
      </c>
      <c r="C22" s="5" t="s">
        <v>42</v>
      </c>
      <c r="D22" s="5" t="s">
        <v>6</v>
      </c>
      <c r="E22" s="5" t="s">
        <v>43</v>
      </c>
      <c r="F22" s="5" t="s">
        <v>10</v>
      </c>
      <c r="G22" s="6">
        <v>1848</v>
      </c>
      <c r="H22" s="6">
        <v>3836.58</v>
      </c>
    </row>
    <row r="23" spans="2:8" outlineLevel="1" x14ac:dyDescent="0.4">
      <c r="B23" s="5" t="s">
        <v>37</v>
      </c>
      <c r="C23" s="5" t="s">
        <v>44</v>
      </c>
      <c r="D23" s="5" t="s">
        <v>6</v>
      </c>
      <c r="E23" s="5" t="s">
        <v>45</v>
      </c>
      <c r="F23" s="5" t="s">
        <v>10</v>
      </c>
      <c r="G23" s="6">
        <v>1848</v>
      </c>
      <c r="H23" s="6">
        <v>3836.58</v>
      </c>
    </row>
    <row r="24" spans="2:8" outlineLevel="1" x14ac:dyDescent="0.4">
      <c r="B24" s="5" t="s">
        <v>37</v>
      </c>
      <c r="C24" s="5" t="s">
        <v>46</v>
      </c>
      <c r="D24" s="5" t="s">
        <v>6</v>
      </c>
      <c r="E24" s="5" t="s">
        <v>47</v>
      </c>
      <c r="F24" s="5" t="s">
        <v>10</v>
      </c>
      <c r="G24" s="6">
        <v>1848</v>
      </c>
      <c r="H24" s="6">
        <v>3836.58</v>
      </c>
    </row>
    <row r="25" spans="2:8" outlineLevel="1" x14ac:dyDescent="0.4">
      <c r="B25" s="5" t="s">
        <v>37</v>
      </c>
      <c r="C25" s="5" t="s">
        <v>48</v>
      </c>
      <c r="D25" s="5" t="s">
        <v>6</v>
      </c>
      <c r="E25" s="5" t="s">
        <v>49</v>
      </c>
      <c r="F25" s="5" t="s">
        <v>10</v>
      </c>
      <c r="G25" s="6">
        <v>1848</v>
      </c>
      <c r="H25" s="6">
        <v>3836.58</v>
      </c>
    </row>
    <row r="26" spans="2:8" outlineLevel="1" x14ac:dyDescent="0.4">
      <c r="B26" s="5" t="s">
        <v>37</v>
      </c>
      <c r="C26" s="5" t="s">
        <v>50</v>
      </c>
      <c r="D26" s="5" t="s">
        <v>6</v>
      </c>
      <c r="E26" s="5" t="s">
        <v>51</v>
      </c>
      <c r="F26" s="5" t="s">
        <v>10</v>
      </c>
      <c r="G26" s="6">
        <v>1848</v>
      </c>
      <c r="H26" s="6">
        <v>3836.58</v>
      </c>
    </row>
    <row r="27" spans="2:8" outlineLevel="1" x14ac:dyDescent="0.4">
      <c r="B27" s="5" t="s">
        <v>37</v>
      </c>
      <c r="C27" s="5" t="s">
        <v>52</v>
      </c>
      <c r="D27" s="5" t="s">
        <v>6</v>
      </c>
      <c r="E27" s="5" t="s">
        <v>53</v>
      </c>
      <c r="F27" s="5" t="s">
        <v>10</v>
      </c>
      <c r="G27" s="6">
        <v>1848</v>
      </c>
      <c r="H27" s="6">
        <v>3836.58</v>
      </c>
    </row>
    <row r="28" spans="2:8" outlineLevel="1" x14ac:dyDescent="0.4">
      <c r="B28" s="5" t="s">
        <v>37</v>
      </c>
      <c r="C28" s="5" t="s">
        <v>54</v>
      </c>
      <c r="D28" s="5" t="s">
        <v>6</v>
      </c>
      <c r="E28" s="5" t="s">
        <v>55</v>
      </c>
      <c r="F28" s="5" t="s">
        <v>10</v>
      </c>
      <c r="G28" s="6">
        <v>1848</v>
      </c>
      <c r="H28" s="6">
        <v>3836.58</v>
      </c>
    </row>
    <row r="29" spans="2:8" outlineLevel="1" x14ac:dyDescent="0.4">
      <c r="B29" s="5" t="s">
        <v>37</v>
      </c>
      <c r="C29" s="5" t="s">
        <v>56</v>
      </c>
      <c r="D29" s="5" t="s">
        <v>6</v>
      </c>
      <c r="E29" s="5" t="s">
        <v>57</v>
      </c>
      <c r="F29" s="5" t="s">
        <v>10</v>
      </c>
      <c r="G29" s="6">
        <v>1848</v>
      </c>
      <c r="H29" s="6">
        <v>3836.58</v>
      </c>
    </row>
    <row r="30" spans="2:8" outlineLevel="1" x14ac:dyDescent="0.4">
      <c r="B30" s="5" t="s">
        <v>58</v>
      </c>
      <c r="C30" s="5" t="s">
        <v>59</v>
      </c>
      <c r="D30" s="5" t="s">
        <v>6</v>
      </c>
      <c r="E30" s="5" t="s">
        <v>60</v>
      </c>
      <c r="F30" s="5" t="s">
        <v>10</v>
      </c>
      <c r="G30" s="6">
        <v>1848</v>
      </c>
      <c r="H30" s="6">
        <v>3836.58</v>
      </c>
    </row>
    <row r="31" spans="2:8" outlineLevel="1" x14ac:dyDescent="0.4">
      <c r="B31" s="5" t="s">
        <v>58</v>
      </c>
      <c r="C31" s="5" t="s">
        <v>61</v>
      </c>
      <c r="D31" s="5" t="s">
        <v>6</v>
      </c>
      <c r="E31" s="5" t="s">
        <v>62</v>
      </c>
      <c r="F31" s="5" t="s">
        <v>10</v>
      </c>
      <c r="G31" s="6">
        <v>1848</v>
      </c>
      <c r="H31" s="6">
        <v>3836.58</v>
      </c>
    </row>
    <row r="32" spans="2:8" outlineLevel="1" x14ac:dyDescent="0.4">
      <c r="B32" s="5" t="s">
        <v>58</v>
      </c>
      <c r="C32" s="5" t="s">
        <v>63</v>
      </c>
      <c r="D32" s="5" t="s">
        <v>6</v>
      </c>
      <c r="E32" s="5" t="s">
        <v>64</v>
      </c>
      <c r="F32" s="5" t="s">
        <v>10</v>
      </c>
      <c r="G32" s="6">
        <v>1848</v>
      </c>
      <c r="H32" s="6">
        <v>3836.58</v>
      </c>
    </row>
    <row r="33" spans="1:8" outlineLevel="1" x14ac:dyDescent="0.4">
      <c r="B33" s="5" t="s">
        <v>58</v>
      </c>
      <c r="C33" s="5" t="s">
        <v>65</v>
      </c>
      <c r="D33" s="5" t="s">
        <v>6</v>
      </c>
      <c r="E33" s="5" t="s">
        <v>66</v>
      </c>
      <c r="F33" s="5" t="s">
        <v>10</v>
      </c>
      <c r="G33" s="6">
        <v>1848</v>
      </c>
      <c r="H33" s="6">
        <v>3836.58</v>
      </c>
    </row>
    <row r="34" spans="1:8" outlineLevel="1" x14ac:dyDescent="0.4">
      <c r="B34" s="5" t="s">
        <v>58</v>
      </c>
      <c r="C34" s="5" t="s">
        <v>67</v>
      </c>
      <c r="D34" s="5" t="s">
        <v>6</v>
      </c>
      <c r="E34" s="5" t="s">
        <v>68</v>
      </c>
      <c r="F34" s="5" t="s">
        <v>10</v>
      </c>
      <c r="G34" s="6">
        <v>1848</v>
      </c>
      <c r="H34" s="6">
        <v>3836.58</v>
      </c>
    </row>
    <row r="35" spans="1:8" x14ac:dyDescent="0.4">
      <c r="A35" s="7" t="s">
        <v>69</v>
      </c>
      <c r="G35" s="8">
        <v>53592</v>
      </c>
      <c r="H35" s="9">
        <f>H6+H7+H8+H9+H10+H11+H12+H13+H14+H15+H16+H17+H18+H19+H20+H21+H22+H23+H24+H25+H26+H27+H28+H29+H30+H31+H32+H33+H34</f>
        <v>111260.82000000004</v>
      </c>
    </row>
    <row r="36" spans="1:8" x14ac:dyDescent="0.4">
      <c r="A36" s="4" t="s">
        <v>70</v>
      </c>
    </row>
    <row r="37" spans="1:8" outlineLevel="1" x14ac:dyDescent="0.4">
      <c r="B37" s="5" t="s">
        <v>71</v>
      </c>
      <c r="C37" s="5" t="s">
        <v>72</v>
      </c>
      <c r="D37" s="5" t="s">
        <v>73</v>
      </c>
      <c r="E37" s="5" t="s">
        <v>74</v>
      </c>
      <c r="F37" s="5" t="s">
        <v>10</v>
      </c>
      <c r="G37" s="6">
        <v>1848</v>
      </c>
      <c r="H37" s="6">
        <v>3836.58</v>
      </c>
    </row>
    <row r="38" spans="1:8" outlineLevel="1" x14ac:dyDescent="0.4">
      <c r="B38" s="5" t="s">
        <v>71</v>
      </c>
      <c r="C38" s="5" t="s">
        <v>75</v>
      </c>
      <c r="D38" s="5" t="s">
        <v>73</v>
      </c>
      <c r="E38" s="5" t="s">
        <v>76</v>
      </c>
      <c r="F38" s="5" t="s">
        <v>10</v>
      </c>
      <c r="G38" s="6">
        <v>1848</v>
      </c>
      <c r="H38" s="6">
        <v>3836.58</v>
      </c>
    </row>
    <row r="39" spans="1:8" outlineLevel="1" x14ac:dyDescent="0.4">
      <c r="B39" s="5" t="s">
        <v>37</v>
      </c>
      <c r="C39" s="5" t="s">
        <v>77</v>
      </c>
      <c r="D39" s="5" t="s">
        <v>73</v>
      </c>
      <c r="E39" s="5" t="s">
        <v>78</v>
      </c>
      <c r="F39" s="5" t="s">
        <v>10</v>
      </c>
      <c r="G39" s="6">
        <v>1848</v>
      </c>
      <c r="H39" s="6">
        <v>3836.58</v>
      </c>
    </row>
    <row r="40" spans="1:8" outlineLevel="1" x14ac:dyDescent="0.4">
      <c r="B40" s="5" t="s">
        <v>37</v>
      </c>
      <c r="C40" s="5" t="s">
        <v>79</v>
      </c>
      <c r="D40" s="5" t="s">
        <v>73</v>
      </c>
      <c r="E40" s="5" t="s">
        <v>80</v>
      </c>
      <c r="F40" s="5" t="s">
        <v>10</v>
      </c>
      <c r="G40" s="6">
        <v>1848</v>
      </c>
      <c r="H40" s="6">
        <v>3836.58</v>
      </c>
    </row>
    <row r="41" spans="1:8" outlineLevel="1" x14ac:dyDescent="0.4">
      <c r="B41" s="5" t="s">
        <v>37</v>
      </c>
      <c r="C41" s="5" t="s">
        <v>81</v>
      </c>
      <c r="D41" s="5" t="s">
        <v>73</v>
      </c>
      <c r="E41" s="5" t="s">
        <v>82</v>
      </c>
      <c r="F41" s="5" t="s">
        <v>10</v>
      </c>
      <c r="G41" s="6">
        <v>1848</v>
      </c>
      <c r="H41" s="6">
        <v>3836.58</v>
      </c>
    </row>
    <row r="42" spans="1:8" outlineLevel="1" x14ac:dyDescent="0.4">
      <c r="B42" s="5" t="s">
        <v>83</v>
      </c>
      <c r="C42" s="5" t="s">
        <v>84</v>
      </c>
      <c r="D42" s="5" t="s">
        <v>73</v>
      </c>
      <c r="E42" s="5" t="s">
        <v>85</v>
      </c>
      <c r="F42" s="5" t="s">
        <v>10</v>
      </c>
      <c r="G42" s="6">
        <v>1848</v>
      </c>
      <c r="H42" s="6">
        <v>3836.58</v>
      </c>
    </row>
    <row r="43" spans="1:8" outlineLevel="1" x14ac:dyDescent="0.4">
      <c r="B43" s="5" t="s">
        <v>83</v>
      </c>
      <c r="C43" s="5" t="s">
        <v>86</v>
      </c>
      <c r="D43" s="5" t="s">
        <v>73</v>
      </c>
      <c r="E43" s="5" t="s">
        <v>87</v>
      </c>
      <c r="F43" s="5" t="s">
        <v>10</v>
      </c>
      <c r="G43" s="6">
        <v>1848</v>
      </c>
      <c r="H43" s="6">
        <v>3836.58</v>
      </c>
    </row>
    <row r="44" spans="1:8" outlineLevel="1" x14ac:dyDescent="0.4">
      <c r="B44" s="5" t="s">
        <v>83</v>
      </c>
      <c r="C44" s="5" t="s">
        <v>88</v>
      </c>
      <c r="D44" s="5" t="s">
        <v>73</v>
      </c>
      <c r="E44" s="5" t="s">
        <v>89</v>
      </c>
      <c r="F44" s="5" t="s">
        <v>10</v>
      </c>
      <c r="G44" s="6">
        <v>1848</v>
      </c>
      <c r="H44" s="6">
        <v>3836.58</v>
      </c>
    </row>
    <row r="45" spans="1:8" outlineLevel="1" x14ac:dyDescent="0.4">
      <c r="B45" s="5" t="s">
        <v>83</v>
      </c>
      <c r="C45" s="5" t="s">
        <v>90</v>
      </c>
      <c r="D45" s="5" t="s">
        <v>73</v>
      </c>
      <c r="E45" s="5" t="s">
        <v>91</v>
      </c>
      <c r="F45" s="5" t="s">
        <v>10</v>
      </c>
      <c r="G45" s="6">
        <v>1848</v>
      </c>
      <c r="H45" s="6">
        <v>3836.58</v>
      </c>
    </row>
    <row r="46" spans="1:8" outlineLevel="1" x14ac:dyDescent="0.4">
      <c r="B46" s="5" t="s">
        <v>58</v>
      </c>
      <c r="C46" s="5" t="s">
        <v>92</v>
      </c>
      <c r="D46" s="5" t="s">
        <v>73</v>
      </c>
      <c r="E46" s="5" t="s">
        <v>93</v>
      </c>
      <c r="F46" s="5" t="s">
        <v>10</v>
      </c>
      <c r="G46" s="6">
        <v>1848</v>
      </c>
      <c r="H46" s="6">
        <v>3836.58</v>
      </c>
    </row>
    <row r="47" spans="1:8" outlineLevel="1" x14ac:dyDescent="0.4">
      <c r="B47" s="5" t="s">
        <v>58</v>
      </c>
      <c r="C47" s="5" t="s">
        <v>94</v>
      </c>
      <c r="D47" s="5" t="s">
        <v>73</v>
      </c>
      <c r="E47" s="5" t="s">
        <v>95</v>
      </c>
      <c r="F47" s="5" t="s">
        <v>10</v>
      </c>
      <c r="G47" s="6">
        <v>1848</v>
      </c>
      <c r="H47" s="6">
        <v>3836.58</v>
      </c>
    </row>
    <row r="48" spans="1:8" outlineLevel="1" x14ac:dyDescent="0.4">
      <c r="B48" s="5" t="s">
        <v>58</v>
      </c>
      <c r="C48" s="5" t="s">
        <v>96</v>
      </c>
      <c r="D48" s="5" t="s">
        <v>73</v>
      </c>
      <c r="E48" s="5" t="s">
        <v>97</v>
      </c>
      <c r="F48" s="5" t="s">
        <v>10</v>
      </c>
      <c r="G48" s="6">
        <v>1848</v>
      </c>
      <c r="H48" s="6">
        <v>3836.58</v>
      </c>
    </row>
    <row r="49" spans="1:8" outlineLevel="1" x14ac:dyDescent="0.4">
      <c r="B49" s="5" t="s">
        <v>58</v>
      </c>
      <c r="C49" s="5" t="s">
        <v>98</v>
      </c>
      <c r="D49" s="5" t="s">
        <v>73</v>
      </c>
      <c r="E49" s="5" t="s">
        <v>99</v>
      </c>
      <c r="F49" s="5" t="s">
        <v>10</v>
      </c>
      <c r="G49" s="6">
        <v>1848</v>
      </c>
      <c r="H49" s="6">
        <v>3836.58</v>
      </c>
    </row>
    <row r="50" spans="1:8" outlineLevel="1" x14ac:dyDescent="0.4">
      <c r="B50" s="5" t="s">
        <v>58</v>
      </c>
      <c r="C50" s="5" t="s">
        <v>100</v>
      </c>
      <c r="D50" s="5" t="s">
        <v>73</v>
      </c>
      <c r="E50" s="5" t="s">
        <v>101</v>
      </c>
      <c r="F50" s="5" t="s">
        <v>10</v>
      </c>
      <c r="G50" s="6">
        <v>1848</v>
      </c>
      <c r="H50" s="6">
        <v>3836.58</v>
      </c>
    </row>
    <row r="51" spans="1:8" outlineLevel="1" x14ac:dyDescent="0.4">
      <c r="B51" s="5" t="s">
        <v>58</v>
      </c>
      <c r="C51" s="5" t="s">
        <v>102</v>
      </c>
      <c r="D51" s="5" t="s">
        <v>73</v>
      </c>
      <c r="E51" s="5" t="s">
        <v>103</v>
      </c>
      <c r="F51" s="5" t="s">
        <v>10</v>
      </c>
      <c r="G51" s="6">
        <v>1848</v>
      </c>
      <c r="H51" s="6">
        <v>3836.58</v>
      </c>
    </row>
    <row r="52" spans="1:8" x14ac:dyDescent="0.4">
      <c r="A52" s="7" t="s">
        <v>104</v>
      </c>
      <c r="G52" s="8">
        <v>27720</v>
      </c>
      <c r="H52" s="9">
        <f>H37+H38+H39+H40+H41+H42+H43+H44+H45+H46+H47+H48+H49+H50+H51</f>
        <v>57548.700000000019</v>
      </c>
    </row>
    <row r="53" spans="1:8" x14ac:dyDescent="0.4">
      <c r="A53" s="4" t="s">
        <v>105</v>
      </c>
    </row>
    <row r="54" spans="1:8" outlineLevel="1" x14ac:dyDescent="0.4">
      <c r="B54" s="5" t="s">
        <v>106</v>
      </c>
      <c r="C54" s="5" t="s">
        <v>107</v>
      </c>
      <c r="D54" s="5" t="s">
        <v>108</v>
      </c>
      <c r="E54" s="5" t="s">
        <v>109</v>
      </c>
      <c r="F54" s="5" t="s">
        <v>10</v>
      </c>
      <c r="G54" s="10">
        <v>1056</v>
      </c>
      <c r="H54" s="6">
        <v>3505.7</v>
      </c>
    </row>
    <row r="55" spans="1:8" outlineLevel="1" x14ac:dyDescent="0.4">
      <c r="B55" s="5" t="s">
        <v>106</v>
      </c>
      <c r="C55" s="5" t="s">
        <v>110</v>
      </c>
      <c r="D55" s="5" t="s">
        <v>108</v>
      </c>
      <c r="E55" s="5" t="s">
        <v>111</v>
      </c>
      <c r="F55" s="5" t="s">
        <v>10</v>
      </c>
      <c r="G55" s="10">
        <v>1056</v>
      </c>
      <c r="H55" s="6">
        <v>3505.7</v>
      </c>
    </row>
    <row r="56" spans="1:8" outlineLevel="1" x14ac:dyDescent="0.4">
      <c r="B56" s="5" t="s">
        <v>106</v>
      </c>
      <c r="C56" s="5" t="s">
        <v>112</v>
      </c>
      <c r="D56" s="5" t="s">
        <v>108</v>
      </c>
      <c r="E56" s="5" t="s">
        <v>113</v>
      </c>
      <c r="F56" s="5" t="s">
        <v>10</v>
      </c>
      <c r="G56" s="10">
        <v>1056</v>
      </c>
      <c r="H56" s="6">
        <v>3505.7</v>
      </c>
    </row>
    <row r="57" spans="1:8" outlineLevel="1" x14ac:dyDescent="0.4">
      <c r="B57" s="5" t="s">
        <v>106</v>
      </c>
      <c r="C57" s="5" t="s">
        <v>114</v>
      </c>
      <c r="D57" s="5" t="s">
        <v>108</v>
      </c>
      <c r="E57" s="5" t="s">
        <v>115</v>
      </c>
      <c r="F57" s="5" t="s">
        <v>10</v>
      </c>
      <c r="G57" s="10">
        <v>1056</v>
      </c>
      <c r="H57" s="6">
        <v>3505.7</v>
      </c>
    </row>
    <row r="58" spans="1:8" outlineLevel="1" x14ac:dyDescent="0.4">
      <c r="B58" s="5" t="s">
        <v>106</v>
      </c>
      <c r="C58" s="5" t="s">
        <v>116</v>
      </c>
      <c r="D58" s="5" t="s">
        <v>108</v>
      </c>
      <c r="E58" s="5" t="s">
        <v>117</v>
      </c>
      <c r="F58" s="5" t="s">
        <v>10</v>
      </c>
      <c r="G58" s="10">
        <v>1056</v>
      </c>
      <c r="H58" s="6">
        <v>3505.7</v>
      </c>
    </row>
    <row r="59" spans="1:8" outlineLevel="1" x14ac:dyDescent="0.4">
      <c r="B59" s="5" t="s">
        <v>106</v>
      </c>
      <c r="C59" s="5" t="s">
        <v>118</v>
      </c>
      <c r="D59" s="5" t="s">
        <v>108</v>
      </c>
      <c r="E59" s="5" t="s">
        <v>119</v>
      </c>
      <c r="F59" s="5" t="s">
        <v>10</v>
      </c>
      <c r="G59" s="10">
        <v>1056</v>
      </c>
      <c r="H59" s="6">
        <v>3505.7</v>
      </c>
    </row>
    <row r="60" spans="1:8" outlineLevel="1" x14ac:dyDescent="0.4">
      <c r="B60" s="5" t="s">
        <v>106</v>
      </c>
      <c r="C60" s="5" t="s">
        <v>120</v>
      </c>
      <c r="D60" s="5" t="s">
        <v>108</v>
      </c>
      <c r="E60" s="5" t="s">
        <v>121</v>
      </c>
      <c r="F60" s="5" t="s">
        <v>10</v>
      </c>
      <c r="G60" s="10">
        <v>1056</v>
      </c>
      <c r="H60" s="6">
        <v>3505.7</v>
      </c>
    </row>
    <row r="61" spans="1:8" outlineLevel="1" x14ac:dyDescent="0.4">
      <c r="B61" s="5" t="s">
        <v>71</v>
      </c>
      <c r="C61" s="5" t="s">
        <v>122</v>
      </c>
      <c r="D61" s="5" t="s">
        <v>108</v>
      </c>
      <c r="E61" s="5" t="s">
        <v>123</v>
      </c>
      <c r="F61" s="5" t="s">
        <v>10</v>
      </c>
      <c r="G61" s="10">
        <v>1056</v>
      </c>
      <c r="H61" s="6">
        <v>3505.7</v>
      </c>
    </row>
    <row r="62" spans="1:8" outlineLevel="1" x14ac:dyDescent="0.4">
      <c r="B62" s="5" t="s">
        <v>71</v>
      </c>
      <c r="C62" s="5" t="s">
        <v>124</v>
      </c>
      <c r="D62" s="5" t="s">
        <v>125</v>
      </c>
      <c r="E62" s="5" t="s">
        <v>126</v>
      </c>
      <c r="F62" s="5" t="s">
        <v>10</v>
      </c>
      <c r="G62" s="11">
        <v>1848</v>
      </c>
      <c r="H62" s="6">
        <v>3836.58</v>
      </c>
    </row>
    <row r="63" spans="1:8" outlineLevel="1" x14ac:dyDescent="0.4">
      <c r="B63" s="5" t="s">
        <v>71</v>
      </c>
      <c r="C63" s="5" t="s">
        <v>127</v>
      </c>
      <c r="D63" s="5" t="s">
        <v>108</v>
      </c>
      <c r="E63" s="5" t="s">
        <v>128</v>
      </c>
      <c r="F63" s="5" t="s">
        <v>10</v>
      </c>
      <c r="G63" s="10">
        <v>1056</v>
      </c>
      <c r="H63" s="6">
        <v>3505.7</v>
      </c>
    </row>
    <row r="64" spans="1:8" outlineLevel="1" x14ac:dyDescent="0.4">
      <c r="B64" s="5" t="s">
        <v>71</v>
      </c>
      <c r="C64" s="5" t="s">
        <v>129</v>
      </c>
      <c r="D64" s="5" t="s">
        <v>125</v>
      </c>
      <c r="E64" s="5" t="s">
        <v>130</v>
      </c>
      <c r="F64" s="5" t="s">
        <v>10</v>
      </c>
      <c r="G64" s="11">
        <v>1848</v>
      </c>
      <c r="H64" s="6">
        <v>3836.58</v>
      </c>
    </row>
    <row r="65" spans="1:8" outlineLevel="1" x14ac:dyDescent="0.4">
      <c r="B65" s="5" t="s">
        <v>71</v>
      </c>
      <c r="C65" s="5" t="s">
        <v>131</v>
      </c>
      <c r="D65" s="5" t="s">
        <v>108</v>
      </c>
      <c r="E65" s="5" t="s">
        <v>132</v>
      </c>
      <c r="F65" s="5" t="s">
        <v>10</v>
      </c>
      <c r="G65" s="10">
        <v>1056</v>
      </c>
      <c r="H65" s="6">
        <v>3505.7</v>
      </c>
    </row>
    <row r="66" spans="1:8" x14ac:dyDescent="0.4">
      <c r="A66" s="7" t="s">
        <v>133</v>
      </c>
      <c r="G66" s="12">
        <v>14256</v>
      </c>
      <c r="H66" s="13">
        <f>H54+H55+H56+H57+H58+H59+H60+H61+H62+H63+H64+H65</f>
        <v>42730.159999999996</v>
      </c>
    </row>
    <row r="67" spans="1:8" x14ac:dyDescent="0.4">
      <c r="A67" s="4" t="s">
        <v>134</v>
      </c>
    </row>
    <row r="68" spans="1:8" outlineLevel="1" x14ac:dyDescent="0.4">
      <c r="B68" s="5" t="s">
        <v>7</v>
      </c>
      <c r="C68" s="5" t="s">
        <v>135</v>
      </c>
      <c r="D68" s="14" t="s">
        <v>136</v>
      </c>
      <c r="E68" s="5" t="s">
        <v>137</v>
      </c>
      <c r="F68" s="5" t="s">
        <v>10</v>
      </c>
      <c r="G68" s="15">
        <v>1848</v>
      </c>
      <c r="H68" s="6">
        <v>3836.58</v>
      </c>
    </row>
    <row r="69" spans="1:8" outlineLevel="1" x14ac:dyDescent="0.4">
      <c r="B69" s="5" t="s">
        <v>7</v>
      </c>
      <c r="C69" s="5" t="s">
        <v>138</v>
      </c>
      <c r="D69" s="14" t="s">
        <v>136</v>
      </c>
      <c r="E69" s="5" t="s">
        <v>139</v>
      </c>
      <c r="F69" s="5" t="s">
        <v>10</v>
      </c>
      <c r="G69" s="15">
        <v>1848</v>
      </c>
      <c r="H69" s="6">
        <v>3836.58</v>
      </c>
    </row>
    <row r="70" spans="1:8" outlineLevel="1" x14ac:dyDescent="0.4">
      <c r="B70" s="5" t="s">
        <v>140</v>
      </c>
      <c r="C70" s="5" t="s">
        <v>141</v>
      </c>
      <c r="D70" s="16" t="s">
        <v>142</v>
      </c>
      <c r="E70" s="5" t="s">
        <v>143</v>
      </c>
      <c r="F70" s="5" t="s">
        <v>10</v>
      </c>
      <c r="G70" s="17">
        <v>1056</v>
      </c>
      <c r="H70" s="6">
        <v>3505.7</v>
      </c>
    </row>
    <row r="71" spans="1:8" outlineLevel="1" x14ac:dyDescent="0.4">
      <c r="B71" s="5" t="s">
        <v>140</v>
      </c>
      <c r="C71" s="5" t="s">
        <v>144</v>
      </c>
      <c r="D71" s="16" t="s">
        <v>142</v>
      </c>
      <c r="E71" s="5" t="s">
        <v>145</v>
      </c>
      <c r="F71" s="5" t="s">
        <v>10</v>
      </c>
      <c r="G71" s="17">
        <v>1056</v>
      </c>
      <c r="H71" s="6">
        <v>3505.7</v>
      </c>
    </row>
    <row r="72" spans="1:8" outlineLevel="1" x14ac:dyDescent="0.4">
      <c r="B72" s="5" t="s">
        <v>140</v>
      </c>
      <c r="C72" s="5" t="s">
        <v>146</v>
      </c>
      <c r="D72" s="16" t="s">
        <v>142</v>
      </c>
      <c r="E72" s="5" t="s">
        <v>147</v>
      </c>
      <c r="F72" s="5" t="s">
        <v>10</v>
      </c>
      <c r="G72" s="17">
        <v>1056</v>
      </c>
      <c r="H72" s="6">
        <v>3505.7</v>
      </c>
    </row>
    <row r="73" spans="1:8" outlineLevel="1" x14ac:dyDescent="0.4">
      <c r="B73" s="5" t="s">
        <v>140</v>
      </c>
      <c r="C73" s="5" t="s">
        <v>148</v>
      </c>
      <c r="D73" s="14" t="s">
        <v>136</v>
      </c>
      <c r="E73" s="5" t="s">
        <v>149</v>
      </c>
      <c r="F73" s="5" t="s">
        <v>10</v>
      </c>
      <c r="G73" s="15">
        <v>1848</v>
      </c>
      <c r="H73" s="6">
        <v>3836.58</v>
      </c>
    </row>
    <row r="74" spans="1:8" outlineLevel="1" x14ac:dyDescent="0.4">
      <c r="B74" s="5" t="s">
        <v>140</v>
      </c>
      <c r="C74" s="5" t="s">
        <v>150</v>
      </c>
      <c r="D74" s="16" t="s">
        <v>142</v>
      </c>
      <c r="E74" s="5" t="s">
        <v>151</v>
      </c>
      <c r="F74" s="5" t="s">
        <v>10</v>
      </c>
      <c r="G74" s="17">
        <v>1056</v>
      </c>
      <c r="H74" s="6">
        <v>3505.7</v>
      </c>
    </row>
    <row r="75" spans="1:8" outlineLevel="1" x14ac:dyDescent="0.4">
      <c r="B75" s="5" t="s">
        <v>140</v>
      </c>
      <c r="C75" s="5" t="s">
        <v>152</v>
      </c>
      <c r="D75" s="16" t="s">
        <v>142</v>
      </c>
      <c r="E75" s="5" t="s">
        <v>153</v>
      </c>
      <c r="F75" s="5" t="s">
        <v>10</v>
      </c>
      <c r="G75" s="17">
        <v>1056</v>
      </c>
      <c r="H75" s="6">
        <v>3505.7</v>
      </c>
    </row>
    <row r="76" spans="1:8" outlineLevel="1" x14ac:dyDescent="0.4">
      <c r="B76" s="5" t="s">
        <v>140</v>
      </c>
      <c r="C76" s="5" t="s">
        <v>154</v>
      </c>
      <c r="D76" s="14" t="s">
        <v>136</v>
      </c>
      <c r="E76" s="5" t="s">
        <v>155</v>
      </c>
      <c r="F76" s="5" t="s">
        <v>10</v>
      </c>
      <c r="G76" s="15">
        <v>1848</v>
      </c>
      <c r="H76" s="6">
        <v>3836.58</v>
      </c>
    </row>
    <row r="77" spans="1:8" outlineLevel="1" x14ac:dyDescent="0.4">
      <c r="B77" s="5" t="s">
        <v>140</v>
      </c>
      <c r="C77" s="5" t="s">
        <v>156</v>
      </c>
      <c r="D77" s="14" t="s">
        <v>136</v>
      </c>
      <c r="E77" s="5" t="s">
        <v>157</v>
      </c>
      <c r="F77" s="5" t="s">
        <v>10</v>
      </c>
      <c r="G77" s="15">
        <v>1848</v>
      </c>
      <c r="H77" s="6">
        <v>3836.58</v>
      </c>
    </row>
    <row r="78" spans="1:8" outlineLevel="1" x14ac:dyDescent="0.4">
      <c r="B78" s="5" t="s">
        <v>140</v>
      </c>
      <c r="C78" s="5" t="s">
        <v>158</v>
      </c>
      <c r="D78" s="16" t="s">
        <v>142</v>
      </c>
      <c r="E78" s="5" t="s">
        <v>159</v>
      </c>
      <c r="F78" s="5" t="s">
        <v>10</v>
      </c>
      <c r="G78" s="17">
        <v>1056</v>
      </c>
      <c r="H78" s="6">
        <v>3505.7</v>
      </c>
    </row>
    <row r="79" spans="1:8" outlineLevel="1" x14ac:dyDescent="0.4">
      <c r="B79" s="5" t="s">
        <v>140</v>
      </c>
      <c r="C79" s="5" t="s">
        <v>160</v>
      </c>
      <c r="D79" s="16" t="s">
        <v>142</v>
      </c>
      <c r="E79" s="5" t="s">
        <v>161</v>
      </c>
      <c r="F79" s="5" t="s">
        <v>10</v>
      </c>
      <c r="G79" s="17">
        <v>1056</v>
      </c>
      <c r="H79" s="6">
        <v>3505.7</v>
      </c>
    </row>
    <row r="80" spans="1:8" outlineLevel="1" x14ac:dyDescent="0.4">
      <c r="B80" s="5" t="s">
        <v>140</v>
      </c>
      <c r="C80" s="5" t="s">
        <v>162</v>
      </c>
      <c r="D80" s="16" t="s">
        <v>142</v>
      </c>
      <c r="E80" s="5" t="s">
        <v>163</v>
      </c>
      <c r="F80" s="5" t="s">
        <v>10</v>
      </c>
      <c r="G80" s="17">
        <v>1056</v>
      </c>
      <c r="H80" s="6">
        <v>3505.7</v>
      </c>
    </row>
    <row r="81" spans="2:8" outlineLevel="1" x14ac:dyDescent="0.4">
      <c r="B81" s="5" t="s">
        <v>140</v>
      </c>
      <c r="C81" s="5" t="s">
        <v>164</v>
      </c>
      <c r="D81" s="14" t="s">
        <v>136</v>
      </c>
      <c r="E81" s="5" t="s">
        <v>165</v>
      </c>
      <c r="F81" s="5" t="s">
        <v>10</v>
      </c>
      <c r="G81" s="15">
        <v>1848</v>
      </c>
      <c r="H81" s="6">
        <v>3836.58</v>
      </c>
    </row>
    <row r="82" spans="2:8" outlineLevel="1" x14ac:dyDescent="0.4">
      <c r="B82" s="5" t="s">
        <v>140</v>
      </c>
      <c r="C82" s="5" t="s">
        <v>166</v>
      </c>
      <c r="D82" s="16" t="s">
        <v>142</v>
      </c>
      <c r="E82" s="5" t="s">
        <v>167</v>
      </c>
      <c r="F82" s="5" t="s">
        <v>10</v>
      </c>
      <c r="G82" s="17">
        <v>1056</v>
      </c>
      <c r="H82" s="6">
        <v>3505.7</v>
      </c>
    </row>
    <row r="83" spans="2:8" outlineLevel="1" x14ac:dyDescent="0.4">
      <c r="B83" s="5" t="s">
        <v>140</v>
      </c>
      <c r="C83" s="5" t="s">
        <v>168</v>
      </c>
      <c r="D83" s="16" t="s">
        <v>142</v>
      </c>
      <c r="E83" s="5" t="s">
        <v>169</v>
      </c>
      <c r="F83" s="5" t="s">
        <v>10</v>
      </c>
      <c r="G83" s="17">
        <v>1056</v>
      </c>
      <c r="H83" s="6">
        <v>3505.7</v>
      </c>
    </row>
    <row r="84" spans="2:8" outlineLevel="1" x14ac:dyDescent="0.4">
      <c r="B84" s="5" t="s">
        <v>170</v>
      </c>
      <c r="C84" s="5" t="s">
        <v>171</v>
      </c>
      <c r="D84" s="14" t="s">
        <v>136</v>
      </c>
      <c r="E84" s="5" t="s">
        <v>172</v>
      </c>
      <c r="F84" s="5" t="s">
        <v>10</v>
      </c>
      <c r="G84" s="15">
        <v>1848</v>
      </c>
      <c r="H84" s="6">
        <v>3836.58</v>
      </c>
    </row>
    <row r="85" spans="2:8" outlineLevel="1" x14ac:dyDescent="0.4">
      <c r="B85" s="5" t="s">
        <v>170</v>
      </c>
      <c r="C85" s="5" t="s">
        <v>173</v>
      </c>
      <c r="D85" s="14" t="s">
        <v>136</v>
      </c>
      <c r="E85" s="5" t="s">
        <v>174</v>
      </c>
      <c r="F85" s="5" t="s">
        <v>10</v>
      </c>
      <c r="G85" s="15">
        <v>1848</v>
      </c>
      <c r="H85" s="6">
        <v>3836.58</v>
      </c>
    </row>
    <row r="86" spans="2:8" outlineLevel="1" x14ac:dyDescent="0.4">
      <c r="B86" s="5" t="s">
        <v>170</v>
      </c>
      <c r="C86" s="5" t="s">
        <v>175</v>
      </c>
      <c r="D86" s="14" t="s">
        <v>136</v>
      </c>
      <c r="E86" s="5" t="s">
        <v>176</v>
      </c>
      <c r="F86" s="5" t="s">
        <v>10</v>
      </c>
      <c r="G86" s="15">
        <v>1848</v>
      </c>
      <c r="H86" s="6">
        <v>3836.58</v>
      </c>
    </row>
    <row r="87" spans="2:8" outlineLevel="1" x14ac:dyDescent="0.4">
      <c r="B87" s="5" t="s">
        <v>170</v>
      </c>
      <c r="C87" s="5" t="s">
        <v>177</v>
      </c>
      <c r="D87" s="14" t="s">
        <v>136</v>
      </c>
      <c r="E87" s="5" t="s">
        <v>178</v>
      </c>
      <c r="F87" s="5" t="s">
        <v>10</v>
      </c>
      <c r="G87" s="15">
        <v>1848</v>
      </c>
      <c r="H87" s="6">
        <v>3836.58</v>
      </c>
    </row>
    <row r="88" spans="2:8" outlineLevel="1" x14ac:dyDescent="0.4">
      <c r="B88" s="5" t="s">
        <v>170</v>
      </c>
      <c r="C88" s="5" t="s">
        <v>179</v>
      </c>
      <c r="D88" s="14" t="s">
        <v>136</v>
      </c>
      <c r="E88" s="5" t="s">
        <v>180</v>
      </c>
      <c r="F88" s="5" t="s">
        <v>10</v>
      </c>
      <c r="G88" s="15">
        <v>1848</v>
      </c>
      <c r="H88" s="6">
        <v>3836.58</v>
      </c>
    </row>
    <row r="89" spans="2:8" outlineLevel="1" x14ac:dyDescent="0.4">
      <c r="B89" s="5" t="s">
        <v>170</v>
      </c>
      <c r="C89" s="5" t="s">
        <v>181</v>
      </c>
      <c r="D89" s="14" t="s">
        <v>136</v>
      </c>
      <c r="E89" s="5" t="s">
        <v>182</v>
      </c>
      <c r="F89" s="5" t="s">
        <v>10</v>
      </c>
      <c r="G89" s="15">
        <v>1848</v>
      </c>
      <c r="H89" s="6">
        <v>3836.58</v>
      </c>
    </row>
    <row r="90" spans="2:8" outlineLevel="1" x14ac:dyDescent="0.4">
      <c r="B90" s="5" t="s">
        <v>170</v>
      </c>
      <c r="C90" s="5" t="s">
        <v>183</v>
      </c>
      <c r="D90" s="14" t="s">
        <v>136</v>
      </c>
      <c r="E90" s="5" t="s">
        <v>184</v>
      </c>
      <c r="F90" s="5" t="s">
        <v>10</v>
      </c>
      <c r="G90" s="15">
        <v>1848</v>
      </c>
      <c r="H90" s="6">
        <v>3836.58</v>
      </c>
    </row>
    <row r="91" spans="2:8" outlineLevel="1" x14ac:dyDescent="0.4">
      <c r="B91" s="5" t="s">
        <v>170</v>
      </c>
      <c r="C91" s="5" t="s">
        <v>185</v>
      </c>
      <c r="D91" s="14" t="s">
        <v>136</v>
      </c>
      <c r="E91" s="5" t="s">
        <v>186</v>
      </c>
      <c r="F91" s="5" t="s">
        <v>10</v>
      </c>
      <c r="G91" s="15">
        <v>1848</v>
      </c>
      <c r="H91" s="6">
        <v>3836.58</v>
      </c>
    </row>
    <row r="92" spans="2:8" outlineLevel="1" x14ac:dyDescent="0.4">
      <c r="B92" s="5" t="s">
        <v>170</v>
      </c>
      <c r="C92" s="5" t="s">
        <v>187</v>
      </c>
      <c r="D92" s="14" t="s">
        <v>136</v>
      </c>
      <c r="E92" s="5" t="s">
        <v>188</v>
      </c>
      <c r="F92" s="5" t="s">
        <v>10</v>
      </c>
      <c r="G92" s="15">
        <v>1848</v>
      </c>
      <c r="H92" s="6">
        <v>3836.58</v>
      </c>
    </row>
    <row r="93" spans="2:8" outlineLevel="1" x14ac:dyDescent="0.4">
      <c r="B93" s="5" t="s">
        <v>170</v>
      </c>
      <c r="C93" s="5" t="s">
        <v>189</v>
      </c>
      <c r="D93" s="14" t="s">
        <v>136</v>
      </c>
      <c r="E93" s="5" t="s">
        <v>190</v>
      </c>
      <c r="F93" s="5" t="s">
        <v>10</v>
      </c>
      <c r="G93" s="15">
        <v>1848</v>
      </c>
      <c r="H93" s="6">
        <v>3836.58</v>
      </c>
    </row>
    <row r="94" spans="2:8" outlineLevel="1" x14ac:dyDescent="0.4">
      <c r="B94" s="5" t="s">
        <v>170</v>
      </c>
      <c r="C94" s="5" t="s">
        <v>191</v>
      </c>
      <c r="D94" s="14" t="s">
        <v>136</v>
      </c>
      <c r="E94" s="5" t="s">
        <v>192</v>
      </c>
      <c r="F94" s="5" t="s">
        <v>10</v>
      </c>
      <c r="G94" s="15">
        <v>1848</v>
      </c>
      <c r="H94" s="6">
        <v>3836.58</v>
      </c>
    </row>
    <row r="95" spans="2:8" outlineLevel="1" x14ac:dyDescent="0.4">
      <c r="B95" s="5" t="s">
        <v>170</v>
      </c>
      <c r="C95" s="5" t="s">
        <v>193</v>
      </c>
      <c r="D95" s="14" t="s">
        <v>136</v>
      </c>
      <c r="E95" s="5" t="s">
        <v>194</v>
      </c>
      <c r="F95" s="5" t="s">
        <v>10</v>
      </c>
      <c r="G95" s="15">
        <v>1848</v>
      </c>
      <c r="H95" s="6">
        <v>3836.58</v>
      </c>
    </row>
    <row r="96" spans="2:8" outlineLevel="1" x14ac:dyDescent="0.4">
      <c r="B96" s="5" t="s">
        <v>170</v>
      </c>
      <c r="C96" s="5" t="s">
        <v>195</v>
      </c>
      <c r="D96" s="14" t="s">
        <v>136</v>
      </c>
      <c r="E96" s="5" t="s">
        <v>196</v>
      </c>
      <c r="F96" s="5" t="s">
        <v>10</v>
      </c>
      <c r="G96" s="15">
        <v>1848</v>
      </c>
      <c r="H96" s="6">
        <v>3836.58</v>
      </c>
    </row>
    <row r="97" spans="2:8" outlineLevel="1" x14ac:dyDescent="0.4">
      <c r="B97" s="5" t="s">
        <v>170</v>
      </c>
      <c r="C97" s="5" t="s">
        <v>197</v>
      </c>
      <c r="D97" s="14" t="s">
        <v>136</v>
      </c>
      <c r="E97" s="5" t="s">
        <v>198</v>
      </c>
      <c r="F97" s="5" t="s">
        <v>10</v>
      </c>
      <c r="G97" s="15">
        <v>1848</v>
      </c>
      <c r="H97" s="6">
        <v>3836.58</v>
      </c>
    </row>
    <row r="98" spans="2:8" outlineLevel="1" x14ac:dyDescent="0.4">
      <c r="B98" s="5" t="s">
        <v>170</v>
      </c>
      <c r="C98" s="5" t="s">
        <v>199</v>
      </c>
      <c r="D98" s="14" t="s">
        <v>136</v>
      </c>
      <c r="E98" s="5" t="s">
        <v>200</v>
      </c>
      <c r="F98" s="5" t="s">
        <v>10</v>
      </c>
      <c r="G98" s="15">
        <v>1848</v>
      </c>
      <c r="H98" s="6">
        <v>3836.58</v>
      </c>
    </row>
    <row r="99" spans="2:8" outlineLevel="1" x14ac:dyDescent="0.4">
      <c r="B99" s="5" t="s">
        <v>170</v>
      </c>
      <c r="C99" s="5" t="s">
        <v>201</v>
      </c>
      <c r="D99" s="14" t="s">
        <v>136</v>
      </c>
      <c r="E99" s="5" t="s">
        <v>202</v>
      </c>
      <c r="F99" s="5" t="s">
        <v>10</v>
      </c>
      <c r="G99" s="15">
        <v>1848</v>
      </c>
      <c r="H99" s="6">
        <v>3836.58</v>
      </c>
    </row>
    <row r="100" spans="2:8" outlineLevel="1" x14ac:dyDescent="0.4">
      <c r="B100" s="5" t="s">
        <v>170</v>
      </c>
      <c r="C100" s="5" t="s">
        <v>203</v>
      </c>
      <c r="D100" s="14" t="s">
        <v>136</v>
      </c>
      <c r="E100" s="5" t="s">
        <v>204</v>
      </c>
      <c r="F100" s="5" t="s">
        <v>10</v>
      </c>
      <c r="G100" s="15">
        <v>1848</v>
      </c>
      <c r="H100" s="6">
        <v>3836.58</v>
      </c>
    </row>
    <row r="101" spans="2:8" outlineLevel="1" x14ac:dyDescent="0.4">
      <c r="B101" s="5" t="s">
        <v>170</v>
      </c>
      <c r="C101" s="5" t="s">
        <v>205</v>
      </c>
      <c r="D101" s="14" t="s">
        <v>136</v>
      </c>
      <c r="E101" s="5" t="s">
        <v>206</v>
      </c>
      <c r="F101" s="5" t="s">
        <v>10</v>
      </c>
      <c r="G101" s="15">
        <v>1848</v>
      </c>
      <c r="H101" s="6">
        <v>3836.58</v>
      </c>
    </row>
    <row r="102" spans="2:8" outlineLevel="1" x14ac:dyDescent="0.4">
      <c r="B102" s="5" t="s">
        <v>170</v>
      </c>
      <c r="C102" s="5" t="s">
        <v>207</v>
      </c>
      <c r="D102" s="14" t="s">
        <v>136</v>
      </c>
      <c r="E102" s="5" t="s">
        <v>208</v>
      </c>
      <c r="F102" s="5" t="s">
        <v>10</v>
      </c>
      <c r="G102" s="15">
        <v>1848</v>
      </c>
      <c r="H102" s="6">
        <v>3836.58</v>
      </c>
    </row>
    <row r="103" spans="2:8" outlineLevel="1" x14ac:dyDescent="0.4">
      <c r="B103" s="5" t="s">
        <v>58</v>
      </c>
      <c r="C103" s="5" t="s">
        <v>209</v>
      </c>
      <c r="D103" s="14" t="s">
        <v>136</v>
      </c>
      <c r="E103" s="5" t="s">
        <v>210</v>
      </c>
      <c r="F103" s="5" t="s">
        <v>10</v>
      </c>
      <c r="G103" s="15">
        <v>1848</v>
      </c>
      <c r="H103" s="6">
        <v>3836.58</v>
      </c>
    </row>
    <row r="104" spans="2:8" outlineLevel="1" x14ac:dyDescent="0.4">
      <c r="B104" s="5" t="s">
        <v>58</v>
      </c>
      <c r="C104" s="5" t="s">
        <v>211</v>
      </c>
      <c r="D104" s="14" t="s">
        <v>136</v>
      </c>
      <c r="E104" s="5" t="s">
        <v>212</v>
      </c>
      <c r="F104" s="5" t="s">
        <v>10</v>
      </c>
      <c r="G104" s="15">
        <v>1848</v>
      </c>
      <c r="H104" s="6">
        <v>3836.58</v>
      </c>
    </row>
    <row r="105" spans="2:8" outlineLevel="1" x14ac:dyDescent="0.4">
      <c r="B105" s="5" t="s">
        <v>58</v>
      </c>
      <c r="C105" s="5" t="s">
        <v>213</v>
      </c>
      <c r="D105" s="14" t="s">
        <v>136</v>
      </c>
      <c r="E105" s="5" t="s">
        <v>214</v>
      </c>
      <c r="F105" s="5" t="s">
        <v>10</v>
      </c>
      <c r="G105" s="15">
        <v>1848</v>
      </c>
      <c r="H105" s="6">
        <v>3836.58</v>
      </c>
    </row>
    <row r="106" spans="2:8" outlineLevel="1" x14ac:dyDescent="0.4">
      <c r="B106" s="5" t="s">
        <v>58</v>
      </c>
      <c r="C106" s="5" t="s">
        <v>215</v>
      </c>
      <c r="D106" s="14" t="s">
        <v>136</v>
      </c>
      <c r="E106" s="5" t="s">
        <v>216</v>
      </c>
      <c r="F106" s="5" t="s">
        <v>10</v>
      </c>
      <c r="G106" s="15">
        <v>1848</v>
      </c>
      <c r="H106" s="6">
        <v>3836.58</v>
      </c>
    </row>
    <row r="107" spans="2:8" outlineLevel="1" x14ac:dyDescent="0.4">
      <c r="B107" s="5" t="s">
        <v>217</v>
      </c>
      <c r="C107" s="5" t="s">
        <v>218</v>
      </c>
      <c r="D107" s="14" t="s">
        <v>136</v>
      </c>
      <c r="E107" s="5" t="s">
        <v>219</v>
      </c>
      <c r="F107" s="5" t="s">
        <v>10</v>
      </c>
      <c r="G107" s="15">
        <v>1848</v>
      </c>
      <c r="H107" s="6">
        <v>3836.58</v>
      </c>
    </row>
    <row r="108" spans="2:8" outlineLevel="1" x14ac:dyDescent="0.4">
      <c r="B108" s="5" t="s">
        <v>217</v>
      </c>
      <c r="C108" s="5" t="s">
        <v>220</v>
      </c>
      <c r="D108" s="14" t="s">
        <v>136</v>
      </c>
      <c r="E108" s="5" t="s">
        <v>221</v>
      </c>
      <c r="F108" s="5" t="s">
        <v>10</v>
      </c>
      <c r="G108" s="15">
        <v>1848</v>
      </c>
      <c r="H108" s="6">
        <v>3836.58</v>
      </c>
    </row>
    <row r="109" spans="2:8" outlineLevel="1" x14ac:dyDescent="0.4">
      <c r="B109" s="5" t="s">
        <v>217</v>
      </c>
      <c r="C109" s="5" t="s">
        <v>222</v>
      </c>
      <c r="D109" s="14" t="s">
        <v>136</v>
      </c>
      <c r="E109" s="5" t="s">
        <v>223</v>
      </c>
      <c r="F109" s="5" t="s">
        <v>10</v>
      </c>
      <c r="G109" s="15">
        <v>1848</v>
      </c>
      <c r="H109" s="6">
        <v>3836.58</v>
      </c>
    </row>
    <row r="110" spans="2:8" outlineLevel="1" x14ac:dyDescent="0.4">
      <c r="B110" s="5" t="s">
        <v>217</v>
      </c>
      <c r="C110" s="5" t="s">
        <v>224</v>
      </c>
      <c r="D110" s="14" t="s">
        <v>136</v>
      </c>
      <c r="E110" s="5" t="s">
        <v>225</v>
      </c>
      <c r="F110" s="5" t="s">
        <v>10</v>
      </c>
      <c r="G110" s="15">
        <v>1848</v>
      </c>
      <c r="H110" s="6">
        <v>3836.58</v>
      </c>
    </row>
    <row r="111" spans="2:8" outlineLevel="1" x14ac:dyDescent="0.4">
      <c r="B111" s="5" t="s">
        <v>217</v>
      </c>
      <c r="C111" s="5" t="s">
        <v>226</v>
      </c>
      <c r="D111" s="14" t="s">
        <v>136</v>
      </c>
      <c r="E111" s="5" t="s">
        <v>227</v>
      </c>
      <c r="F111" s="5" t="s">
        <v>10</v>
      </c>
      <c r="G111" s="15">
        <v>1848</v>
      </c>
      <c r="H111" s="6">
        <v>3836.58</v>
      </c>
    </row>
    <row r="112" spans="2:8" outlineLevel="1" x14ac:dyDescent="0.4">
      <c r="B112" s="5" t="s">
        <v>217</v>
      </c>
      <c r="C112" s="5" t="s">
        <v>228</v>
      </c>
      <c r="D112" s="14" t="s">
        <v>136</v>
      </c>
      <c r="E112" s="5" t="s">
        <v>229</v>
      </c>
      <c r="F112" s="5" t="s">
        <v>10</v>
      </c>
      <c r="G112" s="15">
        <v>1848</v>
      </c>
      <c r="H112" s="6">
        <v>3836.58</v>
      </c>
    </row>
    <row r="113" spans="2:8" outlineLevel="1" x14ac:dyDescent="0.4">
      <c r="B113" s="5" t="s">
        <v>217</v>
      </c>
      <c r="C113" s="5" t="s">
        <v>230</v>
      </c>
      <c r="D113" s="14" t="s">
        <v>136</v>
      </c>
      <c r="E113" s="5" t="s">
        <v>231</v>
      </c>
      <c r="F113" s="5" t="s">
        <v>10</v>
      </c>
      <c r="G113" s="15">
        <v>1848</v>
      </c>
      <c r="H113" s="6">
        <v>3836.58</v>
      </c>
    </row>
    <row r="114" spans="2:8" outlineLevel="1" x14ac:dyDescent="0.4">
      <c r="B114" s="5" t="s">
        <v>217</v>
      </c>
      <c r="C114" s="5" t="s">
        <v>232</v>
      </c>
      <c r="D114" s="14" t="s">
        <v>136</v>
      </c>
      <c r="E114" s="5" t="s">
        <v>233</v>
      </c>
      <c r="F114" s="5" t="s">
        <v>10</v>
      </c>
      <c r="G114" s="15">
        <v>1848</v>
      </c>
      <c r="H114" s="6">
        <v>3836.58</v>
      </c>
    </row>
    <row r="115" spans="2:8" outlineLevel="1" x14ac:dyDescent="0.4">
      <c r="B115" s="5" t="s">
        <v>217</v>
      </c>
      <c r="C115" s="5" t="s">
        <v>234</v>
      </c>
      <c r="D115" s="14" t="s">
        <v>136</v>
      </c>
      <c r="E115" s="5" t="s">
        <v>235</v>
      </c>
      <c r="F115" s="5" t="s">
        <v>10</v>
      </c>
      <c r="G115" s="15">
        <v>1848</v>
      </c>
      <c r="H115" s="6">
        <v>3836.58</v>
      </c>
    </row>
    <row r="116" spans="2:8" outlineLevel="1" x14ac:dyDescent="0.4">
      <c r="B116" s="5" t="s">
        <v>217</v>
      </c>
      <c r="C116" s="5" t="s">
        <v>236</v>
      </c>
      <c r="D116" s="14" t="s">
        <v>136</v>
      </c>
      <c r="E116" s="5" t="s">
        <v>237</v>
      </c>
      <c r="F116" s="5" t="s">
        <v>10</v>
      </c>
      <c r="G116" s="15">
        <v>1848</v>
      </c>
      <c r="H116" s="6">
        <v>3836.58</v>
      </c>
    </row>
    <row r="117" spans="2:8" outlineLevel="1" x14ac:dyDescent="0.4">
      <c r="B117" s="5" t="s">
        <v>217</v>
      </c>
      <c r="C117" s="5" t="s">
        <v>238</v>
      </c>
      <c r="D117" s="14" t="s">
        <v>136</v>
      </c>
      <c r="E117" s="5" t="s">
        <v>239</v>
      </c>
      <c r="F117" s="5" t="s">
        <v>10</v>
      </c>
      <c r="G117" s="15">
        <v>1848</v>
      </c>
      <c r="H117" s="6">
        <v>3836.58</v>
      </c>
    </row>
    <row r="118" spans="2:8" outlineLevel="1" x14ac:dyDescent="0.4">
      <c r="B118" s="5" t="s">
        <v>217</v>
      </c>
      <c r="C118" s="5" t="s">
        <v>240</v>
      </c>
      <c r="D118" s="14" t="s">
        <v>136</v>
      </c>
      <c r="E118" s="5" t="s">
        <v>241</v>
      </c>
      <c r="F118" s="5" t="s">
        <v>10</v>
      </c>
      <c r="G118" s="15">
        <v>1848</v>
      </c>
      <c r="H118" s="6">
        <v>3836.58</v>
      </c>
    </row>
    <row r="119" spans="2:8" outlineLevel="1" x14ac:dyDescent="0.4">
      <c r="B119" s="5" t="s">
        <v>217</v>
      </c>
      <c r="C119" s="5" t="s">
        <v>242</v>
      </c>
      <c r="D119" s="14" t="s">
        <v>136</v>
      </c>
      <c r="E119" s="5" t="s">
        <v>243</v>
      </c>
      <c r="F119" s="5" t="s">
        <v>10</v>
      </c>
      <c r="G119" s="15">
        <v>1848</v>
      </c>
      <c r="H119" s="6">
        <v>3836.58</v>
      </c>
    </row>
    <row r="120" spans="2:8" outlineLevel="1" x14ac:dyDescent="0.4">
      <c r="B120" s="5" t="s">
        <v>217</v>
      </c>
      <c r="C120" s="5" t="s">
        <v>244</v>
      </c>
      <c r="D120" s="14" t="s">
        <v>136</v>
      </c>
      <c r="E120" s="5" t="s">
        <v>245</v>
      </c>
      <c r="F120" s="5" t="s">
        <v>10</v>
      </c>
      <c r="G120" s="15">
        <v>1848</v>
      </c>
      <c r="H120" s="6">
        <v>3836.58</v>
      </c>
    </row>
    <row r="121" spans="2:8" outlineLevel="1" x14ac:dyDescent="0.4">
      <c r="B121" s="5" t="s">
        <v>217</v>
      </c>
      <c r="C121" s="5" t="s">
        <v>246</v>
      </c>
      <c r="D121" s="14" t="s">
        <v>136</v>
      </c>
      <c r="E121" s="5" t="s">
        <v>247</v>
      </c>
      <c r="F121" s="5" t="s">
        <v>10</v>
      </c>
      <c r="G121" s="15">
        <v>1848</v>
      </c>
      <c r="H121" s="6">
        <v>3836.58</v>
      </c>
    </row>
    <row r="122" spans="2:8" outlineLevel="1" x14ac:dyDescent="0.4">
      <c r="B122" s="5" t="s">
        <v>217</v>
      </c>
      <c r="C122" s="5" t="s">
        <v>248</v>
      </c>
      <c r="D122" s="14" t="s">
        <v>136</v>
      </c>
      <c r="E122" s="5" t="s">
        <v>249</v>
      </c>
      <c r="F122" s="5" t="s">
        <v>10</v>
      </c>
      <c r="G122" s="15">
        <v>1848</v>
      </c>
      <c r="H122" s="6">
        <v>3836.58</v>
      </c>
    </row>
    <row r="123" spans="2:8" outlineLevel="1" x14ac:dyDescent="0.4">
      <c r="B123" s="5" t="s">
        <v>217</v>
      </c>
      <c r="C123" s="5" t="s">
        <v>250</v>
      </c>
      <c r="D123" s="14" t="s">
        <v>136</v>
      </c>
      <c r="E123" s="5" t="s">
        <v>251</v>
      </c>
      <c r="F123" s="5" t="s">
        <v>10</v>
      </c>
      <c r="G123" s="15">
        <v>1848</v>
      </c>
      <c r="H123" s="6">
        <v>3836.58</v>
      </c>
    </row>
    <row r="124" spans="2:8" outlineLevel="1" x14ac:dyDescent="0.4">
      <c r="B124" s="5" t="s">
        <v>217</v>
      </c>
      <c r="C124" s="5" t="s">
        <v>252</v>
      </c>
      <c r="D124" s="14" t="s">
        <v>136</v>
      </c>
      <c r="E124" s="5" t="s">
        <v>253</v>
      </c>
      <c r="F124" s="5" t="s">
        <v>10</v>
      </c>
      <c r="G124" s="15">
        <v>1848</v>
      </c>
      <c r="H124" s="6">
        <v>3836.58</v>
      </c>
    </row>
    <row r="125" spans="2:8" outlineLevel="1" x14ac:dyDescent="0.4">
      <c r="B125" s="5" t="s">
        <v>217</v>
      </c>
      <c r="C125" s="5" t="s">
        <v>254</v>
      </c>
      <c r="D125" s="14" t="s">
        <v>136</v>
      </c>
      <c r="E125" s="5" t="s">
        <v>255</v>
      </c>
      <c r="F125" s="5" t="s">
        <v>10</v>
      </c>
      <c r="G125" s="15">
        <v>1848</v>
      </c>
      <c r="H125" s="6">
        <v>3836.58</v>
      </c>
    </row>
    <row r="126" spans="2:8" outlineLevel="1" x14ac:dyDescent="0.4">
      <c r="B126" s="5" t="s">
        <v>256</v>
      </c>
      <c r="C126" s="5" t="s">
        <v>257</v>
      </c>
      <c r="D126" s="14" t="s">
        <v>136</v>
      </c>
      <c r="E126" s="5" t="s">
        <v>258</v>
      </c>
      <c r="F126" s="5" t="s">
        <v>10</v>
      </c>
      <c r="G126" s="15">
        <v>1848</v>
      </c>
      <c r="H126" s="6">
        <v>3836.58</v>
      </c>
    </row>
    <row r="127" spans="2:8" outlineLevel="1" x14ac:dyDescent="0.4">
      <c r="B127" s="5" t="s">
        <v>259</v>
      </c>
      <c r="C127" s="5" t="s">
        <v>260</v>
      </c>
      <c r="D127" s="14" t="s">
        <v>136</v>
      </c>
      <c r="E127" s="5" t="s">
        <v>261</v>
      </c>
      <c r="F127" s="5" t="s">
        <v>10</v>
      </c>
      <c r="G127" s="15">
        <v>1056</v>
      </c>
      <c r="H127" s="6">
        <v>3505.7</v>
      </c>
    </row>
    <row r="128" spans="2:8" outlineLevel="1" x14ac:dyDescent="0.4">
      <c r="B128" s="5" t="s">
        <v>259</v>
      </c>
      <c r="C128" s="5" t="s">
        <v>262</v>
      </c>
      <c r="D128" s="16" t="s">
        <v>142</v>
      </c>
      <c r="E128" s="5" t="s">
        <v>263</v>
      </c>
      <c r="F128" s="5" t="s">
        <v>10</v>
      </c>
      <c r="G128" s="17">
        <v>1056</v>
      </c>
      <c r="H128" s="6">
        <v>3505.7</v>
      </c>
    </row>
    <row r="129" spans="1:8" x14ac:dyDescent="0.4">
      <c r="A129" s="7" t="s">
        <v>264</v>
      </c>
      <c r="G129" s="12">
        <v>103224</v>
      </c>
      <c r="H129" s="13">
        <f>H68+H69+H70+H71+H72+H73+H74+H75+H76+H77+H78+H79+H80+H81+H82+H83+H84+H85+H86+H87+H88+H89+H90+H91+H92+H93+H94+H95+H96+H97+H98+H99+H100+H101+H102+H103+H104+H105+H106+H107+H108+H109+H110+H111+H112+H113+H114+H115+H116+H117+H118+H119+H120+H121+H122+H123+H124+H125+H126+H127+H128</f>
        <v>230060.81999999975</v>
      </c>
    </row>
    <row r="130" spans="1:8" x14ac:dyDescent="0.4">
      <c r="A130" s="4" t="s">
        <v>265</v>
      </c>
    </row>
    <row r="131" spans="1:8" outlineLevel="1" x14ac:dyDescent="0.4">
      <c r="B131" s="5" t="s">
        <v>256</v>
      </c>
      <c r="C131" s="5" t="s">
        <v>266</v>
      </c>
      <c r="D131" s="16" t="s">
        <v>142</v>
      </c>
      <c r="E131" s="5" t="s">
        <v>267</v>
      </c>
      <c r="F131" s="5" t="s">
        <v>10</v>
      </c>
      <c r="G131" s="17">
        <v>1056</v>
      </c>
      <c r="H131" s="6">
        <v>3505.7</v>
      </c>
    </row>
    <row r="132" spans="1:8" outlineLevel="1" x14ac:dyDescent="0.4">
      <c r="B132" s="5" t="s">
        <v>256</v>
      </c>
      <c r="C132" s="5" t="s">
        <v>268</v>
      </c>
      <c r="D132" s="16" t="s">
        <v>142</v>
      </c>
      <c r="E132" s="5" t="s">
        <v>269</v>
      </c>
      <c r="F132" s="5" t="s">
        <v>10</v>
      </c>
      <c r="G132" s="17">
        <v>1056</v>
      </c>
      <c r="H132" s="6">
        <v>3505.7</v>
      </c>
    </row>
    <row r="133" spans="1:8" outlineLevel="1" x14ac:dyDescent="0.4">
      <c r="B133" s="5" t="s">
        <v>256</v>
      </c>
      <c r="C133" s="5" t="s">
        <v>270</v>
      </c>
      <c r="D133" s="16" t="s">
        <v>142</v>
      </c>
      <c r="E133" s="5" t="s">
        <v>271</v>
      </c>
      <c r="F133" s="5" t="s">
        <v>10</v>
      </c>
      <c r="G133" s="17">
        <v>1056</v>
      </c>
      <c r="H133" s="6">
        <v>3505.7</v>
      </c>
    </row>
    <row r="134" spans="1:8" outlineLevel="1" x14ac:dyDescent="0.4">
      <c r="B134" s="5" t="s">
        <v>256</v>
      </c>
      <c r="C134" s="5" t="s">
        <v>272</v>
      </c>
      <c r="D134" s="16" t="s">
        <v>142</v>
      </c>
      <c r="E134" s="5" t="s">
        <v>273</v>
      </c>
      <c r="F134" s="5" t="s">
        <v>10</v>
      </c>
      <c r="G134" s="17">
        <v>1056</v>
      </c>
      <c r="H134" s="6">
        <v>3505.7</v>
      </c>
    </row>
    <row r="135" spans="1:8" outlineLevel="1" x14ac:dyDescent="0.4">
      <c r="B135" s="5" t="s">
        <v>256</v>
      </c>
      <c r="C135" s="5" t="s">
        <v>274</v>
      </c>
      <c r="D135" s="16" t="s">
        <v>142</v>
      </c>
      <c r="E135" s="5" t="s">
        <v>275</v>
      </c>
      <c r="F135" s="5" t="s">
        <v>10</v>
      </c>
      <c r="G135" s="17">
        <v>1056</v>
      </c>
      <c r="H135" s="6">
        <v>3505.7</v>
      </c>
    </row>
    <row r="136" spans="1:8" outlineLevel="1" x14ac:dyDescent="0.4">
      <c r="B136" s="5" t="s">
        <v>256</v>
      </c>
      <c r="C136" s="5" t="s">
        <v>276</v>
      </c>
      <c r="D136" s="16" t="s">
        <v>142</v>
      </c>
      <c r="E136" s="5" t="s">
        <v>277</v>
      </c>
      <c r="F136" s="5" t="s">
        <v>10</v>
      </c>
      <c r="G136" s="17">
        <v>1056</v>
      </c>
      <c r="H136" s="6">
        <v>3505.7</v>
      </c>
    </row>
    <row r="137" spans="1:8" outlineLevel="1" x14ac:dyDescent="0.4">
      <c r="B137" s="5" t="s">
        <v>256</v>
      </c>
      <c r="C137" s="5" t="s">
        <v>278</v>
      </c>
      <c r="D137" s="14" t="s">
        <v>136</v>
      </c>
      <c r="E137" s="5" t="s">
        <v>279</v>
      </c>
      <c r="F137" s="5" t="s">
        <v>10</v>
      </c>
      <c r="G137" s="15">
        <v>1848</v>
      </c>
      <c r="H137" s="6">
        <v>3836.58</v>
      </c>
    </row>
    <row r="138" spans="1:8" outlineLevel="1" x14ac:dyDescent="0.4">
      <c r="B138" s="5" t="s">
        <v>256</v>
      </c>
      <c r="C138" s="5" t="s">
        <v>280</v>
      </c>
      <c r="D138" s="14" t="s">
        <v>136</v>
      </c>
      <c r="E138" s="5" t="s">
        <v>243</v>
      </c>
      <c r="F138" s="5" t="s">
        <v>10</v>
      </c>
      <c r="G138" s="15">
        <v>1848</v>
      </c>
      <c r="H138" s="6">
        <v>3836.58</v>
      </c>
    </row>
    <row r="139" spans="1:8" outlineLevel="1" x14ac:dyDescent="0.4">
      <c r="B139" s="5" t="s">
        <v>256</v>
      </c>
      <c r="C139" s="5" t="s">
        <v>281</v>
      </c>
      <c r="D139" s="16" t="s">
        <v>142</v>
      </c>
      <c r="E139" s="5" t="s">
        <v>282</v>
      </c>
      <c r="F139" s="5" t="s">
        <v>10</v>
      </c>
      <c r="G139" s="17">
        <v>1056</v>
      </c>
      <c r="H139" s="6">
        <v>3505.7</v>
      </c>
    </row>
    <row r="140" spans="1:8" outlineLevel="1" x14ac:dyDescent="0.4">
      <c r="B140" s="5" t="s">
        <v>256</v>
      </c>
      <c r="C140" s="5" t="s">
        <v>283</v>
      </c>
      <c r="D140" s="16" t="s">
        <v>142</v>
      </c>
      <c r="E140" s="5" t="s">
        <v>284</v>
      </c>
      <c r="F140" s="5" t="s">
        <v>10</v>
      </c>
      <c r="G140" s="17">
        <v>1056</v>
      </c>
      <c r="H140" s="6">
        <v>3505.7</v>
      </c>
    </row>
    <row r="141" spans="1:8" outlineLevel="1" x14ac:dyDescent="0.4">
      <c r="B141" s="5" t="s">
        <v>256</v>
      </c>
      <c r="C141" s="5" t="s">
        <v>285</v>
      </c>
      <c r="D141" s="16" t="s">
        <v>142</v>
      </c>
      <c r="E141" s="5" t="s">
        <v>286</v>
      </c>
      <c r="F141" s="5" t="s">
        <v>10</v>
      </c>
      <c r="G141" s="17">
        <v>1056</v>
      </c>
      <c r="H141" s="6">
        <v>3505.7</v>
      </c>
    </row>
    <row r="142" spans="1:8" outlineLevel="1" x14ac:dyDescent="0.4">
      <c r="B142" s="5" t="s">
        <v>256</v>
      </c>
      <c r="C142" s="5" t="s">
        <v>287</v>
      </c>
      <c r="D142" s="16" t="s">
        <v>142</v>
      </c>
      <c r="E142" s="5" t="s">
        <v>288</v>
      </c>
      <c r="F142" s="5" t="s">
        <v>10</v>
      </c>
      <c r="G142" s="17">
        <v>1056</v>
      </c>
      <c r="H142" s="6">
        <v>3505.7</v>
      </c>
    </row>
    <row r="143" spans="1:8" outlineLevel="1" x14ac:dyDescent="0.4">
      <c r="B143" s="5" t="s">
        <v>256</v>
      </c>
      <c r="C143" s="5" t="s">
        <v>289</v>
      </c>
      <c r="D143" s="16" t="s">
        <v>142</v>
      </c>
      <c r="E143" s="5" t="s">
        <v>290</v>
      </c>
      <c r="F143" s="5" t="s">
        <v>10</v>
      </c>
      <c r="G143" s="17">
        <v>1056</v>
      </c>
      <c r="H143" s="6">
        <v>3505.7</v>
      </c>
    </row>
    <row r="144" spans="1:8" outlineLevel="1" x14ac:dyDescent="0.4">
      <c r="B144" s="5" t="s">
        <v>256</v>
      </c>
      <c r="C144" s="5" t="s">
        <v>291</v>
      </c>
      <c r="D144" s="16" t="s">
        <v>142</v>
      </c>
      <c r="E144" s="5" t="s">
        <v>292</v>
      </c>
      <c r="F144" s="5" t="s">
        <v>10</v>
      </c>
      <c r="G144" s="17">
        <v>1056</v>
      </c>
      <c r="H144" s="6">
        <v>3505.7</v>
      </c>
    </row>
    <row r="145" spans="1:8" outlineLevel="1" x14ac:dyDescent="0.4">
      <c r="B145" s="5" t="s">
        <v>256</v>
      </c>
      <c r="C145" s="5" t="s">
        <v>293</v>
      </c>
      <c r="D145" s="16" t="s">
        <v>142</v>
      </c>
      <c r="E145" s="5" t="s">
        <v>294</v>
      </c>
      <c r="F145" s="5" t="s">
        <v>10</v>
      </c>
      <c r="G145" s="17">
        <v>1056</v>
      </c>
      <c r="H145" s="6">
        <v>3505.7</v>
      </c>
    </row>
    <row r="146" spans="1:8" x14ac:dyDescent="0.4">
      <c r="A146" s="7" t="s">
        <v>295</v>
      </c>
      <c r="G146" s="12">
        <v>17424</v>
      </c>
      <c r="H146" s="13">
        <f>H131+H132+H133+H134+H135+H136+H137+H138+H139+H140+H141+H142+H143+H144+H145</f>
        <v>53247.259999999987</v>
      </c>
    </row>
    <row r="147" spans="1:8" x14ac:dyDescent="0.4">
      <c r="A147" s="4" t="s">
        <v>296</v>
      </c>
    </row>
    <row r="148" spans="1:8" outlineLevel="1" x14ac:dyDescent="0.4">
      <c r="B148" s="5" t="s">
        <v>106</v>
      </c>
      <c r="C148" s="5" t="s">
        <v>297</v>
      </c>
      <c r="D148" s="18" t="s">
        <v>296</v>
      </c>
      <c r="E148" s="5" t="s">
        <v>298</v>
      </c>
      <c r="F148" s="5" t="s">
        <v>299</v>
      </c>
      <c r="G148" s="19">
        <v>1848</v>
      </c>
      <c r="H148" s="6">
        <v>4250.3999999999996</v>
      </c>
    </row>
    <row r="149" spans="1:8" x14ac:dyDescent="0.4">
      <c r="A149" s="7" t="s">
        <v>300</v>
      </c>
      <c r="G149" s="12">
        <v>1848</v>
      </c>
      <c r="H149" s="13">
        <f>H148</f>
        <v>4250.3999999999996</v>
      </c>
    </row>
    <row r="150" spans="1:8" x14ac:dyDescent="0.4">
      <c r="A150" s="4" t="s">
        <v>301</v>
      </c>
    </row>
    <row r="151" spans="1:8" outlineLevel="1" x14ac:dyDescent="0.4">
      <c r="B151" s="5" t="s">
        <v>71</v>
      </c>
      <c r="C151" s="5" t="s">
        <v>302</v>
      </c>
      <c r="D151" s="5" t="s">
        <v>301</v>
      </c>
      <c r="E151" s="5" t="s">
        <v>303</v>
      </c>
      <c r="F151" s="5" t="s">
        <v>304</v>
      </c>
      <c r="G151" s="6">
        <v>1512</v>
      </c>
      <c r="H151" s="6">
        <v>3477.6</v>
      </c>
    </row>
    <row r="152" spans="1:8" outlineLevel="1" x14ac:dyDescent="0.4">
      <c r="B152" s="5" t="s">
        <v>71</v>
      </c>
      <c r="C152" s="5" t="s">
        <v>305</v>
      </c>
      <c r="D152" s="5" t="s">
        <v>301</v>
      </c>
      <c r="E152" s="5" t="s">
        <v>306</v>
      </c>
      <c r="F152" s="5" t="s">
        <v>307</v>
      </c>
      <c r="G152" s="6">
        <v>420</v>
      </c>
      <c r="H152" s="6">
        <v>966</v>
      </c>
    </row>
    <row r="153" spans="1:8" outlineLevel="1" x14ac:dyDescent="0.4">
      <c r="B153" s="5" t="s">
        <v>71</v>
      </c>
      <c r="C153" s="5" t="s">
        <v>308</v>
      </c>
      <c r="D153" s="5" t="s">
        <v>301</v>
      </c>
      <c r="E153" s="5" t="s">
        <v>309</v>
      </c>
      <c r="F153" s="5" t="s">
        <v>310</v>
      </c>
      <c r="G153" s="6">
        <v>1596</v>
      </c>
      <c r="H153" s="6">
        <v>3670.8</v>
      </c>
    </row>
    <row r="154" spans="1:8" outlineLevel="1" x14ac:dyDescent="0.4">
      <c r="B154" s="5" t="s">
        <v>311</v>
      </c>
      <c r="C154" s="5" t="s">
        <v>312</v>
      </c>
      <c r="D154" s="5" t="s">
        <v>301</v>
      </c>
      <c r="E154" s="5" t="s">
        <v>313</v>
      </c>
      <c r="F154" s="5" t="s">
        <v>10</v>
      </c>
      <c r="G154" s="6">
        <v>1848</v>
      </c>
      <c r="H154" s="6">
        <v>3836.58</v>
      </c>
    </row>
    <row r="155" spans="1:8" outlineLevel="1" x14ac:dyDescent="0.4">
      <c r="B155" s="5" t="s">
        <v>311</v>
      </c>
      <c r="C155" s="5" t="s">
        <v>314</v>
      </c>
      <c r="D155" s="5" t="s">
        <v>301</v>
      </c>
      <c r="E155" s="5" t="s">
        <v>315</v>
      </c>
      <c r="F155" s="5" t="s">
        <v>10</v>
      </c>
      <c r="G155" s="6">
        <v>1848</v>
      </c>
      <c r="H155" s="6">
        <v>3836.58</v>
      </c>
    </row>
    <row r="156" spans="1:8" outlineLevel="1" x14ac:dyDescent="0.4">
      <c r="B156" s="5" t="s">
        <v>311</v>
      </c>
      <c r="C156" s="5" t="s">
        <v>316</v>
      </c>
      <c r="D156" s="5" t="s">
        <v>301</v>
      </c>
      <c r="E156" s="5" t="s">
        <v>317</v>
      </c>
      <c r="F156" s="5" t="s">
        <v>10</v>
      </c>
      <c r="G156" s="6">
        <v>1848</v>
      </c>
      <c r="H156" s="6">
        <v>3836.58</v>
      </c>
    </row>
    <row r="157" spans="1:8" outlineLevel="1" x14ac:dyDescent="0.4">
      <c r="B157" s="5" t="s">
        <v>311</v>
      </c>
      <c r="C157" s="5" t="s">
        <v>318</v>
      </c>
      <c r="D157" s="5" t="s">
        <v>301</v>
      </c>
      <c r="E157" s="5" t="s">
        <v>319</v>
      </c>
      <c r="F157" s="5" t="s">
        <v>10</v>
      </c>
      <c r="G157" s="6">
        <v>1848</v>
      </c>
      <c r="H157" s="6">
        <v>3836.58</v>
      </c>
    </row>
    <row r="158" spans="1:8" outlineLevel="1" x14ac:dyDescent="0.4">
      <c r="B158" s="5" t="s">
        <v>311</v>
      </c>
      <c r="C158" s="5" t="s">
        <v>320</v>
      </c>
      <c r="D158" s="5" t="s">
        <v>301</v>
      </c>
      <c r="E158" s="5" t="s">
        <v>321</v>
      </c>
      <c r="F158" s="5" t="s">
        <v>10</v>
      </c>
      <c r="G158" s="6">
        <v>1848</v>
      </c>
      <c r="H158" s="6">
        <v>3836.58</v>
      </c>
    </row>
    <row r="159" spans="1:8" outlineLevel="1" x14ac:dyDescent="0.4">
      <c r="B159" s="5" t="s">
        <v>311</v>
      </c>
      <c r="C159" s="5" t="s">
        <v>322</v>
      </c>
      <c r="D159" s="5" t="s">
        <v>301</v>
      </c>
      <c r="E159" s="5" t="s">
        <v>323</v>
      </c>
      <c r="F159" s="5" t="s">
        <v>10</v>
      </c>
      <c r="G159" s="6">
        <v>1848</v>
      </c>
      <c r="H159" s="6">
        <v>3836.58</v>
      </c>
    </row>
    <row r="160" spans="1:8" outlineLevel="1" x14ac:dyDescent="0.4">
      <c r="B160" s="5" t="s">
        <v>311</v>
      </c>
      <c r="C160" s="5" t="s">
        <v>324</v>
      </c>
      <c r="D160" s="5" t="s">
        <v>301</v>
      </c>
      <c r="E160" s="5" t="s">
        <v>325</v>
      </c>
      <c r="F160" s="5" t="s">
        <v>10</v>
      </c>
      <c r="G160" s="6">
        <v>1848</v>
      </c>
      <c r="H160" s="6">
        <v>3836.58</v>
      </c>
    </row>
    <row r="161" spans="2:8" outlineLevel="1" x14ac:dyDescent="0.4">
      <c r="B161" s="5" t="s">
        <v>311</v>
      </c>
      <c r="C161" s="5" t="s">
        <v>326</v>
      </c>
      <c r="D161" s="5" t="s">
        <v>301</v>
      </c>
      <c r="E161" s="5" t="s">
        <v>327</v>
      </c>
      <c r="F161" s="5" t="s">
        <v>10</v>
      </c>
      <c r="G161" s="6">
        <v>1848</v>
      </c>
      <c r="H161" s="6">
        <v>3836.58</v>
      </c>
    </row>
    <row r="162" spans="2:8" outlineLevel="1" x14ac:dyDescent="0.4">
      <c r="B162" s="5" t="s">
        <v>311</v>
      </c>
      <c r="C162" s="5" t="s">
        <v>328</v>
      </c>
      <c r="D162" s="5" t="s">
        <v>301</v>
      </c>
      <c r="E162" s="5" t="s">
        <v>329</v>
      </c>
      <c r="F162" s="5" t="s">
        <v>10</v>
      </c>
      <c r="G162" s="6">
        <v>1848</v>
      </c>
      <c r="H162" s="6">
        <v>3836.58</v>
      </c>
    </row>
    <row r="163" spans="2:8" outlineLevel="1" x14ac:dyDescent="0.4">
      <c r="B163" s="5" t="s">
        <v>311</v>
      </c>
      <c r="C163" s="5" t="s">
        <v>330</v>
      </c>
      <c r="D163" s="5" t="s">
        <v>301</v>
      </c>
      <c r="E163" s="5" t="s">
        <v>331</v>
      </c>
      <c r="F163" s="5" t="s">
        <v>10</v>
      </c>
      <c r="G163" s="6">
        <v>1848</v>
      </c>
      <c r="H163" s="6">
        <v>3836.58</v>
      </c>
    </row>
    <row r="164" spans="2:8" outlineLevel="1" x14ac:dyDescent="0.4">
      <c r="B164" s="5" t="s">
        <v>311</v>
      </c>
      <c r="C164" s="5" t="s">
        <v>332</v>
      </c>
      <c r="D164" s="5" t="s">
        <v>301</v>
      </c>
      <c r="E164" s="5" t="s">
        <v>333</v>
      </c>
      <c r="F164" s="5" t="s">
        <v>10</v>
      </c>
      <c r="G164" s="6">
        <v>1848</v>
      </c>
      <c r="H164" s="6">
        <v>3836.58</v>
      </c>
    </row>
    <row r="165" spans="2:8" outlineLevel="1" x14ac:dyDescent="0.4">
      <c r="B165" s="5" t="s">
        <v>311</v>
      </c>
      <c r="C165" s="5" t="s">
        <v>334</v>
      </c>
      <c r="D165" s="5" t="s">
        <v>301</v>
      </c>
      <c r="E165" s="5" t="s">
        <v>335</v>
      </c>
      <c r="F165" s="5" t="s">
        <v>10</v>
      </c>
      <c r="G165" s="6">
        <v>1848</v>
      </c>
      <c r="H165" s="6">
        <v>3836.58</v>
      </c>
    </row>
    <row r="166" spans="2:8" outlineLevel="1" x14ac:dyDescent="0.4">
      <c r="B166" s="5" t="s">
        <v>311</v>
      </c>
      <c r="C166" s="5" t="s">
        <v>336</v>
      </c>
      <c r="D166" s="5" t="s">
        <v>301</v>
      </c>
      <c r="E166" s="5" t="s">
        <v>337</v>
      </c>
      <c r="F166" s="5" t="s">
        <v>10</v>
      </c>
      <c r="G166" s="6">
        <v>1848</v>
      </c>
      <c r="H166" s="6">
        <v>3836.58</v>
      </c>
    </row>
    <row r="167" spans="2:8" outlineLevel="1" x14ac:dyDescent="0.4">
      <c r="B167" s="5" t="s">
        <v>311</v>
      </c>
      <c r="C167" s="5" t="s">
        <v>338</v>
      </c>
      <c r="D167" s="5" t="s">
        <v>301</v>
      </c>
      <c r="E167" s="5" t="s">
        <v>339</v>
      </c>
      <c r="F167" s="5" t="s">
        <v>10</v>
      </c>
      <c r="G167" s="6">
        <v>1848</v>
      </c>
      <c r="H167" s="6">
        <v>3836.58</v>
      </c>
    </row>
    <row r="168" spans="2:8" outlineLevel="1" x14ac:dyDescent="0.4">
      <c r="B168" s="5" t="s">
        <v>311</v>
      </c>
      <c r="C168" s="5" t="s">
        <v>340</v>
      </c>
      <c r="D168" s="5" t="s">
        <v>301</v>
      </c>
      <c r="E168" s="5" t="s">
        <v>341</v>
      </c>
      <c r="F168" s="5" t="s">
        <v>10</v>
      </c>
      <c r="G168" s="6">
        <v>2016</v>
      </c>
      <c r="H168" s="6">
        <v>4185.3599999999997</v>
      </c>
    </row>
    <row r="169" spans="2:8" outlineLevel="1" x14ac:dyDescent="0.4">
      <c r="B169" s="5" t="s">
        <v>311</v>
      </c>
      <c r="C169" s="5" t="s">
        <v>342</v>
      </c>
      <c r="D169" s="5" t="s">
        <v>301</v>
      </c>
      <c r="E169" s="5" t="s">
        <v>343</v>
      </c>
      <c r="F169" s="5" t="s">
        <v>10</v>
      </c>
      <c r="G169" s="6">
        <v>1848</v>
      </c>
      <c r="H169" s="6">
        <v>3836.58</v>
      </c>
    </row>
    <row r="170" spans="2:8" outlineLevel="1" x14ac:dyDescent="0.4">
      <c r="B170" s="5" t="s">
        <v>311</v>
      </c>
      <c r="C170" s="5" t="s">
        <v>344</v>
      </c>
      <c r="D170" s="5" t="s">
        <v>301</v>
      </c>
      <c r="E170" s="5" t="s">
        <v>345</v>
      </c>
      <c r="F170" s="5" t="s">
        <v>10</v>
      </c>
      <c r="G170" s="6">
        <v>1848</v>
      </c>
      <c r="H170" s="6">
        <v>3836.58</v>
      </c>
    </row>
    <row r="171" spans="2:8" outlineLevel="1" x14ac:dyDescent="0.4">
      <c r="B171" s="5" t="s">
        <v>311</v>
      </c>
      <c r="C171" s="5" t="s">
        <v>346</v>
      </c>
      <c r="D171" s="5" t="s">
        <v>301</v>
      </c>
      <c r="E171" s="5" t="s">
        <v>347</v>
      </c>
      <c r="F171" s="5" t="s">
        <v>10</v>
      </c>
      <c r="G171" s="6">
        <v>1848</v>
      </c>
      <c r="H171" s="6">
        <v>3836.58</v>
      </c>
    </row>
    <row r="172" spans="2:8" outlineLevel="1" x14ac:dyDescent="0.4">
      <c r="B172" s="5" t="s">
        <v>311</v>
      </c>
      <c r="C172" s="5" t="s">
        <v>348</v>
      </c>
      <c r="D172" s="5" t="s">
        <v>301</v>
      </c>
      <c r="E172" s="5" t="s">
        <v>349</v>
      </c>
      <c r="F172" s="5" t="s">
        <v>10</v>
      </c>
      <c r="G172" s="6">
        <v>1848</v>
      </c>
      <c r="H172" s="6">
        <v>3836.58</v>
      </c>
    </row>
    <row r="173" spans="2:8" outlineLevel="1" x14ac:dyDescent="0.4">
      <c r="B173" s="5" t="s">
        <v>350</v>
      </c>
      <c r="C173" s="5" t="s">
        <v>351</v>
      </c>
      <c r="D173" s="5" t="s">
        <v>301</v>
      </c>
      <c r="E173" s="5" t="s">
        <v>352</v>
      </c>
      <c r="F173" s="5" t="s">
        <v>10</v>
      </c>
      <c r="G173" s="6">
        <v>1848</v>
      </c>
      <c r="H173" s="6">
        <v>3836.58</v>
      </c>
    </row>
    <row r="174" spans="2:8" outlineLevel="1" x14ac:dyDescent="0.4">
      <c r="B174" s="5" t="s">
        <v>350</v>
      </c>
      <c r="C174" s="5" t="s">
        <v>353</v>
      </c>
      <c r="D174" s="5" t="s">
        <v>301</v>
      </c>
      <c r="E174" s="5" t="s">
        <v>354</v>
      </c>
      <c r="F174" s="5" t="s">
        <v>10</v>
      </c>
      <c r="G174" s="6">
        <v>1848</v>
      </c>
      <c r="H174" s="6">
        <v>3836.58</v>
      </c>
    </row>
    <row r="175" spans="2:8" outlineLevel="1" x14ac:dyDescent="0.4">
      <c r="B175" s="5" t="s">
        <v>350</v>
      </c>
      <c r="C175" s="5" t="s">
        <v>355</v>
      </c>
      <c r="D175" s="5" t="s">
        <v>301</v>
      </c>
      <c r="E175" s="5" t="s">
        <v>356</v>
      </c>
      <c r="F175" s="5" t="s">
        <v>10</v>
      </c>
      <c r="G175" s="6">
        <v>1848</v>
      </c>
      <c r="H175" s="6">
        <v>3836.58</v>
      </c>
    </row>
    <row r="176" spans="2:8" outlineLevel="1" x14ac:dyDescent="0.4">
      <c r="B176" s="5" t="s">
        <v>350</v>
      </c>
      <c r="C176" s="5" t="s">
        <v>357</v>
      </c>
      <c r="D176" s="5" t="s">
        <v>301</v>
      </c>
      <c r="E176" s="5" t="s">
        <v>358</v>
      </c>
      <c r="F176" s="5" t="s">
        <v>10</v>
      </c>
      <c r="G176" s="6">
        <v>1848</v>
      </c>
      <c r="H176" s="6">
        <v>3836.58</v>
      </c>
    </row>
    <row r="177" spans="2:8" outlineLevel="1" x14ac:dyDescent="0.4">
      <c r="B177" s="5" t="s">
        <v>350</v>
      </c>
      <c r="C177" s="5" t="s">
        <v>359</v>
      </c>
      <c r="D177" s="5" t="s">
        <v>301</v>
      </c>
      <c r="E177" s="5" t="s">
        <v>360</v>
      </c>
      <c r="F177" s="5" t="s">
        <v>10</v>
      </c>
      <c r="G177" s="6">
        <v>1848</v>
      </c>
      <c r="H177" s="6">
        <v>3836.58</v>
      </c>
    </row>
    <row r="178" spans="2:8" outlineLevel="1" x14ac:dyDescent="0.4">
      <c r="B178" s="5" t="s">
        <v>350</v>
      </c>
      <c r="C178" s="5" t="s">
        <v>361</v>
      </c>
      <c r="D178" s="5" t="s">
        <v>301</v>
      </c>
      <c r="E178" s="5" t="s">
        <v>362</v>
      </c>
      <c r="F178" s="5" t="s">
        <v>10</v>
      </c>
      <c r="G178" s="6">
        <v>1848</v>
      </c>
      <c r="H178" s="6">
        <v>3836.58</v>
      </c>
    </row>
    <row r="179" spans="2:8" outlineLevel="1" x14ac:dyDescent="0.4">
      <c r="B179" s="5" t="s">
        <v>350</v>
      </c>
      <c r="C179" s="5" t="s">
        <v>363</v>
      </c>
      <c r="D179" s="5" t="s">
        <v>301</v>
      </c>
      <c r="E179" s="5" t="s">
        <v>364</v>
      </c>
      <c r="F179" s="5" t="s">
        <v>10</v>
      </c>
      <c r="G179" s="6">
        <v>2016</v>
      </c>
      <c r="H179" s="6">
        <v>4185.3599999999997</v>
      </c>
    </row>
    <row r="180" spans="2:8" outlineLevel="1" x14ac:dyDescent="0.4">
      <c r="B180" s="5" t="s">
        <v>350</v>
      </c>
      <c r="C180" s="5" t="s">
        <v>365</v>
      </c>
      <c r="D180" s="5" t="s">
        <v>301</v>
      </c>
      <c r="E180" s="5" t="s">
        <v>366</v>
      </c>
      <c r="F180" s="5" t="s">
        <v>10</v>
      </c>
      <c r="G180" s="6">
        <v>1848</v>
      </c>
      <c r="H180" s="6">
        <v>3836.58</v>
      </c>
    </row>
    <row r="181" spans="2:8" outlineLevel="1" x14ac:dyDescent="0.4">
      <c r="B181" s="5" t="s">
        <v>350</v>
      </c>
      <c r="C181" s="5" t="s">
        <v>367</v>
      </c>
      <c r="D181" s="5" t="s">
        <v>301</v>
      </c>
      <c r="E181" s="5" t="s">
        <v>368</v>
      </c>
      <c r="F181" s="5" t="s">
        <v>10</v>
      </c>
      <c r="G181" s="6">
        <v>1848</v>
      </c>
      <c r="H181" s="6">
        <v>3836.58</v>
      </c>
    </row>
    <row r="182" spans="2:8" outlineLevel="1" x14ac:dyDescent="0.4">
      <c r="B182" s="5" t="s">
        <v>350</v>
      </c>
      <c r="C182" s="5" t="s">
        <v>369</v>
      </c>
      <c r="D182" s="5" t="s">
        <v>301</v>
      </c>
      <c r="E182" s="5" t="s">
        <v>370</v>
      </c>
      <c r="F182" s="5" t="s">
        <v>10</v>
      </c>
      <c r="G182" s="6">
        <v>1848</v>
      </c>
      <c r="H182" s="6">
        <v>3836.58</v>
      </c>
    </row>
    <row r="183" spans="2:8" outlineLevel="1" x14ac:dyDescent="0.4">
      <c r="B183" s="5" t="s">
        <v>350</v>
      </c>
      <c r="C183" s="5" t="s">
        <v>371</v>
      </c>
      <c r="D183" s="5" t="s">
        <v>301</v>
      </c>
      <c r="E183" s="5" t="s">
        <v>372</v>
      </c>
      <c r="F183" s="5" t="s">
        <v>10</v>
      </c>
      <c r="G183" s="6">
        <v>1848</v>
      </c>
      <c r="H183" s="6">
        <v>3836.58</v>
      </c>
    </row>
    <row r="184" spans="2:8" outlineLevel="1" x14ac:dyDescent="0.4">
      <c r="B184" s="5" t="s">
        <v>350</v>
      </c>
      <c r="C184" s="5" t="s">
        <v>373</v>
      </c>
      <c r="D184" s="5" t="s">
        <v>301</v>
      </c>
      <c r="E184" s="5" t="s">
        <v>374</v>
      </c>
      <c r="F184" s="5" t="s">
        <v>10</v>
      </c>
      <c r="G184" s="6">
        <v>1848</v>
      </c>
      <c r="H184" s="6">
        <v>3836.58</v>
      </c>
    </row>
    <row r="185" spans="2:8" outlineLevel="1" x14ac:dyDescent="0.4">
      <c r="B185" s="5" t="s">
        <v>375</v>
      </c>
      <c r="C185" s="5" t="s">
        <v>376</v>
      </c>
      <c r="D185" s="5" t="s">
        <v>301</v>
      </c>
      <c r="E185" s="5" t="s">
        <v>377</v>
      </c>
      <c r="F185" s="5" t="s">
        <v>10</v>
      </c>
      <c r="G185" s="6">
        <v>1848</v>
      </c>
      <c r="H185" s="6">
        <v>3836.58</v>
      </c>
    </row>
    <row r="186" spans="2:8" outlineLevel="1" x14ac:dyDescent="0.4">
      <c r="B186" s="5" t="s">
        <v>375</v>
      </c>
      <c r="C186" s="5" t="s">
        <v>378</v>
      </c>
      <c r="D186" s="5" t="s">
        <v>301</v>
      </c>
      <c r="E186" s="5" t="s">
        <v>379</v>
      </c>
      <c r="F186" s="5" t="s">
        <v>10</v>
      </c>
      <c r="G186" s="6">
        <v>1848</v>
      </c>
      <c r="H186" s="6">
        <v>3836.58</v>
      </c>
    </row>
    <row r="187" spans="2:8" outlineLevel="1" x14ac:dyDescent="0.4">
      <c r="B187" s="5" t="s">
        <v>375</v>
      </c>
      <c r="C187" s="5" t="s">
        <v>380</v>
      </c>
      <c r="D187" s="5" t="s">
        <v>301</v>
      </c>
      <c r="E187" s="5" t="s">
        <v>381</v>
      </c>
      <c r="F187" s="5" t="s">
        <v>10</v>
      </c>
      <c r="G187" s="6">
        <v>1848</v>
      </c>
      <c r="H187" s="6">
        <v>3836.58</v>
      </c>
    </row>
    <row r="188" spans="2:8" outlineLevel="1" x14ac:dyDescent="0.4">
      <c r="B188" s="5" t="s">
        <v>375</v>
      </c>
      <c r="C188" s="5" t="s">
        <v>382</v>
      </c>
      <c r="D188" s="5" t="s">
        <v>301</v>
      </c>
      <c r="E188" s="5" t="s">
        <v>383</v>
      </c>
      <c r="F188" s="5" t="s">
        <v>10</v>
      </c>
      <c r="G188" s="6">
        <v>1848</v>
      </c>
      <c r="H188" s="6">
        <v>3836.58</v>
      </c>
    </row>
    <row r="189" spans="2:8" outlineLevel="1" x14ac:dyDescent="0.4">
      <c r="B189" s="5" t="s">
        <v>375</v>
      </c>
      <c r="C189" s="5" t="s">
        <v>384</v>
      </c>
      <c r="D189" s="5" t="s">
        <v>301</v>
      </c>
      <c r="E189" s="5" t="s">
        <v>385</v>
      </c>
      <c r="F189" s="5" t="s">
        <v>10</v>
      </c>
      <c r="G189" s="6">
        <v>1848</v>
      </c>
      <c r="H189" s="6">
        <v>3836.58</v>
      </c>
    </row>
    <row r="190" spans="2:8" outlineLevel="1" x14ac:dyDescent="0.4">
      <c r="B190" s="5" t="s">
        <v>375</v>
      </c>
      <c r="C190" s="5" t="s">
        <v>386</v>
      </c>
      <c r="D190" s="5" t="s">
        <v>301</v>
      </c>
      <c r="E190" s="5" t="s">
        <v>387</v>
      </c>
      <c r="F190" s="5" t="s">
        <v>10</v>
      </c>
      <c r="G190" s="6">
        <v>1848</v>
      </c>
      <c r="H190" s="6">
        <v>3836.58</v>
      </c>
    </row>
    <row r="191" spans="2:8" outlineLevel="1" x14ac:dyDescent="0.4">
      <c r="B191" s="5" t="s">
        <v>375</v>
      </c>
      <c r="C191" s="5" t="s">
        <v>388</v>
      </c>
      <c r="D191" s="5" t="s">
        <v>301</v>
      </c>
      <c r="E191" s="5" t="s">
        <v>389</v>
      </c>
      <c r="F191" s="5" t="s">
        <v>10</v>
      </c>
      <c r="G191" s="6">
        <v>1848</v>
      </c>
      <c r="H191" s="6">
        <v>3836.58</v>
      </c>
    </row>
    <row r="192" spans="2:8" outlineLevel="1" x14ac:dyDescent="0.4">
      <c r="B192" s="5" t="s">
        <v>375</v>
      </c>
      <c r="C192" s="5" t="s">
        <v>390</v>
      </c>
      <c r="D192" s="5" t="s">
        <v>301</v>
      </c>
      <c r="E192" s="5" t="s">
        <v>391</v>
      </c>
      <c r="F192" s="5" t="s">
        <v>10</v>
      </c>
      <c r="G192" s="6">
        <v>1848</v>
      </c>
      <c r="H192" s="6">
        <v>3836.58</v>
      </c>
    </row>
    <row r="193" spans="2:8" outlineLevel="1" x14ac:dyDescent="0.4">
      <c r="B193" s="5" t="s">
        <v>375</v>
      </c>
      <c r="C193" s="5" t="s">
        <v>392</v>
      </c>
      <c r="D193" s="5" t="s">
        <v>301</v>
      </c>
      <c r="E193" s="5" t="s">
        <v>393</v>
      </c>
      <c r="F193" s="5" t="s">
        <v>10</v>
      </c>
      <c r="G193" s="6">
        <v>1848</v>
      </c>
      <c r="H193" s="6">
        <v>3836.58</v>
      </c>
    </row>
    <row r="194" spans="2:8" outlineLevel="1" x14ac:dyDescent="0.4">
      <c r="B194" s="5" t="s">
        <v>375</v>
      </c>
      <c r="C194" s="5" t="s">
        <v>394</v>
      </c>
      <c r="D194" s="5" t="s">
        <v>301</v>
      </c>
      <c r="E194" s="5" t="s">
        <v>395</v>
      </c>
      <c r="F194" s="5" t="s">
        <v>10</v>
      </c>
      <c r="G194" s="6">
        <v>1848</v>
      </c>
      <c r="H194" s="6">
        <v>3836.58</v>
      </c>
    </row>
    <row r="195" spans="2:8" outlineLevel="1" x14ac:dyDescent="0.4">
      <c r="B195" s="5" t="s">
        <v>375</v>
      </c>
      <c r="C195" s="5" t="s">
        <v>396</v>
      </c>
      <c r="D195" s="5" t="s">
        <v>301</v>
      </c>
      <c r="E195" s="5" t="s">
        <v>397</v>
      </c>
      <c r="F195" s="5" t="s">
        <v>10</v>
      </c>
      <c r="G195" s="6">
        <v>1848</v>
      </c>
      <c r="H195" s="6">
        <v>3836.58</v>
      </c>
    </row>
    <row r="196" spans="2:8" outlineLevel="1" x14ac:dyDescent="0.4">
      <c r="B196" s="5" t="s">
        <v>375</v>
      </c>
      <c r="C196" s="5" t="s">
        <v>398</v>
      </c>
      <c r="D196" s="5" t="s">
        <v>301</v>
      </c>
      <c r="E196" s="5" t="s">
        <v>399</v>
      </c>
      <c r="F196" s="5" t="s">
        <v>10</v>
      </c>
      <c r="G196" s="6">
        <v>1848</v>
      </c>
      <c r="H196" s="6">
        <v>3836.58</v>
      </c>
    </row>
    <row r="197" spans="2:8" outlineLevel="1" x14ac:dyDescent="0.4">
      <c r="B197" s="5" t="s">
        <v>375</v>
      </c>
      <c r="C197" s="5" t="s">
        <v>400</v>
      </c>
      <c r="D197" s="5" t="s">
        <v>301</v>
      </c>
      <c r="E197" s="5" t="s">
        <v>401</v>
      </c>
      <c r="F197" s="5" t="s">
        <v>10</v>
      </c>
      <c r="G197" s="6">
        <v>1848</v>
      </c>
      <c r="H197" s="6">
        <v>3836.58</v>
      </c>
    </row>
    <row r="198" spans="2:8" outlineLevel="1" x14ac:dyDescent="0.4">
      <c r="B198" s="5" t="s">
        <v>375</v>
      </c>
      <c r="C198" s="5" t="s">
        <v>402</v>
      </c>
      <c r="D198" s="5" t="s">
        <v>301</v>
      </c>
      <c r="E198" s="5" t="s">
        <v>403</v>
      </c>
      <c r="F198" s="5" t="s">
        <v>10</v>
      </c>
      <c r="G198" s="6">
        <v>1848</v>
      </c>
      <c r="H198" s="6">
        <v>3836.58</v>
      </c>
    </row>
    <row r="199" spans="2:8" outlineLevel="1" x14ac:dyDescent="0.4">
      <c r="B199" s="5" t="s">
        <v>375</v>
      </c>
      <c r="C199" s="5" t="s">
        <v>404</v>
      </c>
      <c r="D199" s="5" t="s">
        <v>301</v>
      </c>
      <c r="E199" s="5" t="s">
        <v>405</v>
      </c>
      <c r="F199" s="5" t="s">
        <v>10</v>
      </c>
      <c r="G199" s="6">
        <v>1848</v>
      </c>
      <c r="H199" s="6">
        <v>3836.58</v>
      </c>
    </row>
    <row r="200" spans="2:8" outlineLevel="1" x14ac:dyDescent="0.4">
      <c r="B200" s="5" t="s">
        <v>83</v>
      </c>
      <c r="C200" s="5" t="s">
        <v>406</v>
      </c>
      <c r="D200" s="5" t="s">
        <v>301</v>
      </c>
      <c r="E200" s="5" t="s">
        <v>407</v>
      </c>
      <c r="F200" s="5" t="s">
        <v>10</v>
      </c>
      <c r="G200" s="6">
        <v>1848</v>
      </c>
      <c r="H200" s="6">
        <v>3836.58</v>
      </c>
    </row>
    <row r="201" spans="2:8" outlineLevel="1" x14ac:dyDescent="0.4">
      <c r="B201" s="5" t="s">
        <v>83</v>
      </c>
      <c r="C201" s="5" t="s">
        <v>408</v>
      </c>
      <c r="D201" s="5" t="s">
        <v>301</v>
      </c>
      <c r="E201" s="5" t="s">
        <v>409</v>
      </c>
      <c r="F201" s="5" t="s">
        <v>10</v>
      </c>
      <c r="G201" s="6">
        <v>1848</v>
      </c>
      <c r="H201" s="6">
        <v>3836.58</v>
      </c>
    </row>
    <row r="202" spans="2:8" outlineLevel="1" x14ac:dyDescent="0.4">
      <c r="B202" s="5" t="s">
        <v>83</v>
      </c>
      <c r="C202" s="5" t="s">
        <v>410</v>
      </c>
      <c r="D202" s="5" t="s">
        <v>301</v>
      </c>
      <c r="E202" s="5" t="s">
        <v>411</v>
      </c>
      <c r="F202" s="5" t="s">
        <v>10</v>
      </c>
      <c r="G202" s="6">
        <v>1848</v>
      </c>
      <c r="H202" s="6">
        <v>3836.58</v>
      </c>
    </row>
    <row r="203" spans="2:8" outlineLevel="1" x14ac:dyDescent="0.4">
      <c r="B203" s="5" t="s">
        <v>83</v>
      </c>
      <c r="C203" s="5" t="s">
        <v>412</v>
      </c>
      <c r="D203" s="5" t="s">
        <v>301</v>
      </c>
      <c r="E203" s="5" t="s">
        <v>413</v>
      </c>
      <c r="F203" s="5" t="s">
        <v>10</v>
      </c>
      <c r="G203" s="6">
        <v>1848</v>
      </c>
      <c r="H203" s="6">
        <v>3836.58</v>
      </c>
    </row>
    <row r="204" spans="2:8" outlineLevel="1" x14ac:dyDescent="0.4">
      <c r="B204" s="5" t="s">
        <v>83</v>
      </c>
      <c r="C204" s="5" t="s">
        <v>414</v>
      </c>
      <c r="D204" s="5" t="s">
        <v>301</v>
      </c>
      <c r="E204" s="5" t="s">
        <v>415</v>
      </c>
      <c r="F204" s="5" t="s">
        <v>10</v>
      </c>
      <c r="G204" s="6">
        <v>1848</v>
      </c>
      <c r="H204" s="6">
        <v>3836.58</v>
      </c>
    </row>
    <row r="205" spans="2:8" outlineLevel="1" x14ac:dyDescent="0.4">
      <c r="B205" s="5" t="s">
        <v>83</v>
      </c>
      <c r="C205" s="5" t="s">
        <v>416</v>
      </c>
      <c r="D205" s="5" t="s">
        <v>301</v>
      </c>
      <c r="E205" s="5" t="s">
        <v>417</v>
      </c>
      <c r="F205" s="5" t="s">
        <v>10</v>
      </c>
      <c r="G205" s="6">
        <v>1848</v>
      </c>
      <c r="H205" s="6">
        <v>3836.58</v>
      </c>
    </row>
    <row r="206" spans="2:8" outlineLevel="1" x14ac:dyDescent="0.4">
      <c r="B206" s="5" t="s">
        <v>83</v>
      </c>
      <c r="C206" s="5" t="s">
        <v>418</v>
      </c>
      <c r="D206" s="5" t="s">
        <v>301</v>
      </c>
      <c r="E206" s="5" t="s">
        <v>419</v>
      </c>
      <c r="F206" s="5" t="s">
        <v>10</v>
      </c>
      <c r="G206" s="6">
        <v>1848</v>
      </c>
      <c r="H206" s="6">
        <v>3836.58</v>
      </c>
    </row>
    <row r="207" spans="2:8" outlineLevel="1" x14ac:dyDescent="0.4">
      <c r="B207" s="5" t="s">
        <v>83</v>
      </c>
      <c r="C207" s="5" t="s">
        <v>420</v>
      </c>
      <c r="D207" s="5" t="s">
        <v>301</v>
      </c>
      <c r="E207" s="5" t="s">
        <v>421</v>
      </c>
      <c r="F207" s="5" t="s">
        <v>10</v>
      </c>
      <c r="G207" s="6">
        <v>1848</v>
      </c>
      <c r="H207" s="6">
        <v>3836.58</v>
      </c>
    </row>
    <row r="208" spans="2:8" outlineLevel="1" x14ac:dyDescent="0.4">
      <c r="B208" s="5" t="s">
        <v>83</v>
      </c>
      <c r="C208" s="5" t="s">
        <v>422</v>
      </c>
      <c r="D208" s="5" t="s">
        <v>301</v>
      </c>
      <c r="E208" s="5" t="s">
        <v>423</v>
      </c>
      <c r="F208" s="5" t="s">
        <v>10</v>
      </c>
      <c r="G208" s="6">
        <v>1848</v>
      </c>
      <c r="H208" s="6">
        <v>3836.58</v>
      </c>
    </row>
    <row r="209" spans="1:8" outlineLevel="1" x14ac:dyDescent="0.4">
      <c r="B209" s="5" t="s">
        <v>83</v>
      </c>
      <c r="C209" s="5" t="s">
        <v>424</v>
      </c>
      <c r="D209" s="5" t="s">
        <v>301</v>
      </c>
      <c r="E209" s="5" t="s">
        <v>425</v>
      </c>
      <c r="F209" s="5" t="s">
        <v>10</v>
      </c>
      <c r="G209" s="6">
        <v>1848</v>
      </c>
      <c r="H209" s="6">
        <v>3836.58</v>
      </c>
    </row>
    <row r="210" spans="1:8" outlineLevel="1" x14ac:dyDescent="0.4">
      <c r="B210" s="5" t="s">
        <v>83</v>
      </c>
      <c r="C210" s="5" t="s">
        <v>426</v>
      </c>
      <c r="D210" s="5" t="s">
        <v>301</v>
      </c>
      <c r="E210" s="5" t="s">
        <v>427</v>
      </c>
      <c r="F210" s="5" t="s">
        <v>10</v>
      </c>
      <c r="G210" s="6">
        <v>1848</v>
      </c>
      <c r="H210" s="6">
        <v>3836.58</v>
      </c>
    </row>
    <row r="211" spans="1:8" outlineLevel="1" x14ac:dyDescent="0.4">
      <c r="B211" s="5" t="s">
        <v>83</v>
      </c>
      <c r="C211" s="5" t="s">
        <v>428</v>
      </c>
      <c r="D211" s="5" t="s">
        <v>301</v>
      </c>
      <c r="E211" s="5" t="s">
        <v>429</v>
      </c>
      <c r="F211" s="5" t="s">
        <v>10</v>
      </c>
      <c r="G211" s="6">
        <v>1848</v>
      </c>
      <c r="H211" s="6">
        <v>3836.58</v>
      </c>
    </row>
    <row r="212" spans="1:8" outlineLevel="1" x14ac:dyDescent="0.4">
      <c r="B212" s="5" t="s">
        <v>217</v>
      </c>
      <c r="C212" s="5" t="s">
        <v>430</v>
      </c>
      <c r="D212" s="5" t="s">
        <v>301</v>
      </c>
      <c r="E212" s="5" t="s">
        <v>431</v>
      </c>
      <c r="F212" s="5" t="s">
        <v>299</v>
      </c>
      <c r="G212" s="6">
        <v>1848</v>
      </c>
      <c r="H212" s="6">
        <v>4250.3999999999996</v>
      </c>
    </row>
    <row r="213" spans="1:8" x14ac:dyDescent="0.4">
      <c r="A213" s="7" t="s">
        <v>432</v>
      </c>
      <c r="G213" s="20">
        <v>112896</v>
      </c>
      <c r="H213" s="13">
        <f>H151+H152+H153+H154+H155+H156+H157+H158+H159+H160+H161+H162+H163+H164+H165+H166+H167+H168+H169+H170+H171+H172+H173+H174+H175+H176+H177+H178+H179+H180+H181+H182+H183+H184+H185+H186+H187+H188+H189+H190+H191+H192+H193+H194+H195+H196+H197+H198+H199+H200+H201+H202+H203+H204+H205+H206+H207+H208+H209+H210+H211+H212</f>
        <v>235583.99999999971</v>
      </c>
    </row>
    <row r="214" spans="1:8" x14ac:dyDescent="0.4">
      <c r="A214" s="4" t="s">
        <v>433</v>
      </c>
    </row>
    <row r="215" spans="1:8" outlineLevel="1" x14ac:dyDescent="0.4">
      <c r="B215" s="5" t="s">
        <v>140</v>
      </c>
      <c r="C215" s="5" t="s">
        <v>434</v>
      </c>
      <c r="D215" s="5" t="s">
        <v>433</v>
      </c>
      <c r="E215" s="5" t="s">
        <v>435</v>
      </c>
      <c r="F215" s="5" t="s">
        <v>10</v>
      </c>
      <c r="G215" s="6">
        <v>1056</v>
      </c>
      <c r="H215" s="6">
        <v>3505.7</v>
      </c>
    </row>
    <row r="216" spans="1:8" outlineLevel="1" x14ac:dyDescent="0.4">
      <c r="B216" s="5" t="s">
        <v>140</v>
      </c>
      <c r="C216" s="5" t="s">
        <v>436</v>
      </c>
      <c r="D216" s="5" t="s">
        <v>433</v>
      </c>
      <c r="E216" s="5" t="s">
        <v>437</v>
      </c>
      <c r="F216" s="5" t="s">
        <v>10</v>
      </c>
      <c r="G216" s="6">
        <v>1056</v>
      </c>
      <c r="H216" s="6">
        <v>3505.7</v>
      </c>
    </row>
    <row r="217" spans="1:8" outlineLevel="1" x14ac:dyDescent="0.4">
      <c r="B217" s="5" t="s">
        <v>140</v>
      </c>
      <c r="C217" s="5" t="s">
        <v>438</v>
      </c>
      <c r="D217" s="5" t="s">
        <v>433</v>
      </c>
      <c r="E217" s="5" t="s">
        <v>439</v>
      </c>
      <c r="F217" s="5" t="s">
        <v>10</v>
      </c>
      <c r="G217" s="6">
        <v>1056</v>
      </c>
      <c r="H217" s="6">
        <v>3505.7</v>
      </c>
    </row>
    <row r="218" spans="1:8" outlineLevel="1" x14ac:dyDescent="0.4">
      <c r="B218" s="5" t="s">
        <v>440</v>
      </c>
      <c r="C218" s="5" t="s">
        <v>441</v>
      </c>
      <c r="D218" s="5" t="s">
        <v>433</v>
      </c>
      <c r="E218" s="5" t="s">
        <v>442</v>
      </c>
      <c r="F218" s="5" t="s">
        <v>10</v>
      </c>
      <c r="G218" s="6">
        <v>1056</v>
      </c>
      <c r="H218" s="6">
        <v>3505.7</v>
      </c>
    </row>
    <row r="219" spans="1:8" outlineLevel="1" x14ac:dyDescent="0.4">
      <c r="B219" s="5" t="s">
        <v>440</v>
      </c>
      <c r="C219" s="5" t="s">
        <v>443</v>
      </c>
      <c r="D219" s="5" t="s">
        <v>433</v>
      </c>
      <c r="E219" s="5" t="s">
        <v>444</v>
      </c>
      <c r="F219" s="5" t="s">
        <v>10</v>
      </c>
      <c r="G219" s="6">
        <v>1056</v>
      </c>
      <c r="H219" s="6">
        <v>3505.7</v>
      </c>
    </row>
    <row r="220" spans="1:8" outlineLevel="1" x14ac:dyDescent="0.4">
      <c r="B220" s="5" t="s">
        <v>440</v>
      </c>
      <c r="C220" s="5" t="s">
        <v>445</v>
      </c>
      <c r="D220" s="5" t="s">
        <v>433</v>
      </c>
      <c r="E220" s="5" t="s">
        <v>446</v>
      </c>
      <c r="F220" s="5" t="s">
        <v>10</v>
      </c>
      <c r="G220" s="6">
        <v>1056</v>
      </c>
      <c r="H220" s="6">
        <v>3505.7</v>
      </c>
    </row>
    <row r="221" spans="1:8" outlineLevel="1" x14ac:dyDescent="0.4">
      <c r="B221" s="5" t="s">
        <v>440</v>
      </c>
      <c r="C221" s="5" t="s">
        <v>447</v>
      </c>
      <c r="D221" s="5" t="s">
        <v>433</v>
      </c>
      <c r="E221" s="5" t="s">
        <v>448</v>
      </c>
      <c r="F221" s="5" t="s">
        <v>10</v>
      </c>
      <c r="G221" s="6">
        <v>1056</v>
      </c>
      <c r="H221" s="6">
        <v>3505.7</v>
      </c>
    </row>
    <row r="222" spans="1:8" outlineLevel="1" x14ac:dyDescent="0.4">
      <c r="B222" s="5" t="s">
        <v>440</v>
      </c>
      <c r="C222" s="5" t="s">
        <v>449</v>
      </c>
      <c r="D222" s="5" t="s">
        <v>433</v>
      </c>
      <c r="E222" s="5" t="s">
        <v>450</v>
      </c>
      <c r="F222" s="5" t="s">
        <v>10</v>
      </c>
      <c r="G222" s="6">
        <v>1056</v>
      </c>
      <c r="H222" s="6">
        <v>3505.7</v>
      </c>
    </row>
    <row r="223" spans="1:8" outlineLevel="1" x14ac:dyDescent="0.4">
      <c r="B223" s="5" t="s">
        <v>440</v>
      </c>
      <c r="C223" s="5" t="s">
        <v>451</v>
      </c>
      <c r="D223" s="5" t="s">
        <v>433</v>
      </c>
      <c r="E223" s="5" t="s">
        <v>452</v>
      </c>
      <c r="F223" s="5" t="s">
        <v>10</v>
      </c>
      <c r="G223" s="6">
        <v>1056</v>
      </c>
      <c r="H223" s="6">
        <v>3505.7</v>
      </c>
    </row>
    <row r="224" spans="1:8" outlineLevel="1" x14ac:dyDescent="0.4">
      <c r="B224" s="5" t="s">
        <v>440</v>
      </c>
      <c r="C224" s="5" t="s">
        <v>453</v>
      </c>
      <c r="D224" s="5" t="s">
        <v>433</v>
      </c>
      <c r="E224" s="5" t="s">
        <v>454</v>
      </c>
      <c r="F224" s="5" t="s">
        <v>10</v>
      </c>
      <c r="G224" s="6">
        <v>1056</v>
      </c>
      <c r="H224" s="6">
        <v>3505.7</v>
      </c>
    </row>
    <row r="225" spans="2:8" outlineLevel="1" x14ac:dyDescent="0.4">
      <c r="B225" s="5" t="s">
        <v>440</v>
      </c>
      <c r="C225" s="5" t="s">
        <v>455</v>
      </c>
      <c r="D225" s="5" t="s">
        <v>433</v>
      </c>
      <c r="E225" s="5" t="s">
        <v>456</v>
      </c>
      <c r="F225" s="5" t="s">
        <v>10</v>
      </c>
      <c r="G225" s="6">
        <v>1056</v>
      </c>
      <c r="H225" s="6">
        <v>3505.7</v>
      </c>
    </row>
    <row r="226" spans="2:8" outlineLevel="1" x14ac:dyDescent="0.4">
      <c r="B226" s="5" t="s">
        <v>440</v>
      </c>
      <c r="C226" s="5" t="s">
        <v>457</v>
      </c>
      <c r="D226" s="5" t="s">
        <v>433</v>
      </c>
      <c r="E226" s="5" t="s">
        <v>458</v>
      </c>
      <c r="F226" s="5" t="s">
        <v>10</v>
      </c>
      <c r="G226" s="6">
        <v>1056</v>
      </c>
      <c r="H226" s="6">
        <v>3505.7</v>
      </c>
    </row>
    <row r="227" spans="2:8" outlineLevel="1" x14ac:dyDescent="0.4">
      <c r="B227" s="5" t="s">
        <v>440</v>
      </c>
      <c r="C227" s="5" t="s">
        <v>459</v>
      </c>
      <c r="D227" s="5" t="s">
        <v>433</v>
      </c>
      <c r="E227" s="5" t="s">
        <v>460</v>
      </c>
      <c r="F227" s="5" t="s">
        <v>10</v>
      </c>
      <c r="G227" s="6">
        <v>1056</v>
      </c>
      <c r="H227" s="6">
        <v>3505.7</v>
      </c>
    </row>
    <row r="228" spans="2:8" outlineLevel="1" x14ac:dyDescent="0.4">
      <c r="B228" s="5" t="s">
        <v>440</v>
      </c>
      <c r="C228" s="5" t="s">
        <v>461</v>
      </c>
      <c r="D228" s="5" t="s">
        <v>433</v>
      </c>
      <c r="E228" s="5" t="s">
        <v>462</v>
      </c>
      <c r="F228" s="5" t="s">
        <v>10</v>
      </c>
      <c r="G228" s="6">
        <v>1056</v>
      </c>
      <c r="H228" s="6">
        <v>3505.7</v>
      </c>
    </row>
    <row r="229" spans="2:8" outlineLevel="1" x14ac:dyDescent="0.4">
      <c r="B229" s="5" t="s">
        <v>440</v>
      </c>
      <c r="C229" s="5" t="s">
        <v>463</v>
      </c>
      <c r="D229" s="5" t="s">
        <v>433</v>
      </c>
      <c r="E229" s="5" t="s">
        <v>464</v>
      </c>
      <c r="F229" s="5" t="s">
        <v>10</v>
      </c>
      <c r="G229" s="6">
        <v>1056</v>
      </c>
      <c r="H229" s="6">
        <v>3505.7</v>
      </c>
    </row>
    <row r="230" spans="2:8" outlineLevel="1" x14ac:dyDescent="0.4">
      <c r="B230" s="5" t="s">
        <v>440</v>
      </c>
      <c r="C230" s="5" t="s">
        <v>465</v>
      </c>
      <c r="D230" s="5" t="s">
        <v>433</v>
      </c>
      <c r="E230" s="5" t="s">
        <v>466</v>
      </c>
      <c r="F230" s="5" t="s">
        <v>10</v>
      </c>
      <c r="G230" s="6">
        <v>1056</v>
      </c>
      <c r="H230" s="6">
        <v>3505.7</v>
      </c>
    </row>
    <row r="231" spans="2:8" outlineLevel="1" x14ac:dyDescent="0.4">
      <c r="B231" s="5" t="s">
        <v>440</v>
      </c>
      <c r="C231" s="5" t="s">
        <v>467</v>
      </c>
      <c r="D231" s="5" t="s">
        <v>433</v>
      </c>
      <c r="E231" s="5" t="s">
        <v>468</v>
      </c>
      <c r="F231" s="5" t="s">
        <v>10</v>
      </c>
      <c r="G231" s="6">
        <v>1056</v>
      </c>
      <c r="H231" s="6">
        <v>3505.7</v>
      </c>
    </row>
    <row r="232" spans="2:8" outlineLevel="1" x14ac:dyDescent="0.4">
      <c r="B232" s="5" t="s">
        <v>440</v>
      </c>
      <c r="C232" s="5" t="s">
        <v>469</v>
      </c>
      <c r="D232" s="5" t="s">
        <v>433</v>
      </c>
      <c r="E232" s="5" t="s">
        <v>470</v>
      </c>
      <c r="F232" s="5" t="s">
        <v>10</v>
      </c>
      <c r="G232" s="6">
        <v>1056</v>
      </c>
      <c r="H232" s="6">
        <v>3505.7</v>
      </c>
    </row>
    <row r="233" spans="2:8" outlineLevel="1" x14ac:dyDescent="0.4">
      <c r="B233" s="5" t="s">
        <v>440</v>
      </c>
      <c r="C233" s="5" t="s">
        <v>471</v>
      </c>
      <c r="D233" s="5" t="s">
        <v>433</v>
      </c>
      <c r="E233" s="5" t="s">
        <v>472</v>
      </c>
      <c r="F233" s="5" t="s">
        <v>10</v>
      </c>
      <c r="G233" s="6">
        <v>1056</v>
      </c>
      <c r="H233" s="6">
        <v>3505.7</v>
      </c>
    </row>
    <row r="234" spans="2:8" outlineLevel="1" x14ac:dyDescent="0.4">
      <c r="B234" s="5" t="s">
        <v>440</v>
      </c>
      <c r="C234" s="5" t="s">
        <v>473</v>
      </c>
      <c r="D234" s="5" t="s">
        <v>433</v>
      </c>
      <c r="E234" s="5" t="s">
        <v>474</v>
      </c>
      <c r="F234" s="5" t="s">
        <v>10</v>
      </c>
      <c r="G234" s="6">
        <v>1056</v>
      </c>
      <c r="H234" s="6">
        <v>3505.7</v>
      </c>
    </row>
    <row r="235" spans="2:8" outlineLevel="1" x14ac:dyDescent="0.4">
      <c r="B235" s="5" t="s">
        <v>440</v>
      </c>
      <c r="C235" s="5" t="s">
        <v>475</v>
      </c>
      <c r="D235" s="5" t="s">
        <v>433</v>
      </c>
      <c r="E235" s="5" t="s">
        <v>476</v>
      </c>
      <c r="F235" s="5" t="s">
        <v>10</v>
      </c>
      <c r="G235" s="6">
        <v>1056</v>
      </c>
      <c r="H235" s="6">
        <v>3505.7</v>
      </c>
    </row>
    <row r="236" spans="2:8" outlineLevel="1" x14ac:dyDescent="0.4">
      <c r="B236" s="5" t="s">
        <v>440</v>
      </c>
      <c r="C236" s="5" t="s">
        <v>477</v>
      </c>
      <c r="D236" s="5" t="s">
        <v>433</v>
      </c>
      <c r="E236" s="5" t="s">
        <v>478</v>
      </c>
      <c r="F236" s="5" t="s">
        <v>10</v>
      </c>
      <c r="G236" s="6">
        <v>1056</v>
      </c>
      <c r="H236" s="6">
        <v>3505.7</v>
      </c>
    </row>
    <row r="237" spans="2:8" outlineLevel="1" x14ac:dyDescent="0.4">
      <c r="B237" s="5" t="s">
        <v>170</v>
      </c>
      <c r="C237" s="5" t="s">
        <v>479</v>
      </c>
      <c r="D237" s="5" t="s">
        <v>433</v>
      </c>
      <c r="E237" s="5" t="s">
        <v>480</v>
      </c>
      <c r="F237" s="5" t="s">
        <v>10</v>
      </c>
      <c r="G237" s="6">
        <v>1056</v>
      </c>
      <c r="H237" s="6">
        <v>3505.7</v>
      </c>
    </row>
    <row r="238" spans="2:8" outlineLevel="1" x14ac:dyDescent="0.4">
      <c r="B238" s="5" t="s">
        <v>170</v>
      </c>
      <c r="C238" s="5" t="s">
        <v>481</v>
      </c>
      <c r="D238" s="5" t="s">
        <v>433</v>
      </c>
      <c r="E238" s="5" t="s">
        <v>482</v>
      </c>
      <c r="F238" s="5" t="s">
        <v>10</v>
      </c>
      <c r="G238" s="6">
        <v>1056</v>
      </c>
      <c r="H238" s="6">
        <v>3505.7</v>
      </c>
    </row>
    <row r="239" spans="2:8" outlineLevel="1" x14ac:dyDescent="0.4">
      <c r="B239" s="5" t="s">
        <v>170</v>
      </c>
      <c r="C239" s="5" t="s">
        <v>483</v>
      </c>
      <c r="D239" s="5" t="s">
        <v>433</v>
      </c>
      <c r="E239" s="5" t="s">
        <v>484</v>
      </c>
      <c r="F239" s="5" t="s">
        <v>10</v>
      </c>
      <c r="G239" s="6">
        <v>1056</v>
      </c>
      <c r="H239" s="6">
        <v>3505.7</v>
      </c>
    </row>
    <row r="240" spans="2:8" outlineLevel="1" x14ac:dyDescent="0.4">
      <c r="B240" s="5" t="s">
        <v>170</v>
      </c>
      <c r="C240" s="5" t="s">
        <v>485</v>
      </c>
      <c r="D240" s="5" t="s">
        <v>433</v>
      </c>
      <c r="E240" s="5" t="s">
        <v>486</v>
      </c>
      <c r="F240" s="5" t="s">
        <v>10</v>
      </c>
      <c r="G240" s="6">
        <v>1056</v>
      </c>
      <c r="H240" s="6">
        <v>3505.7</v>
      </c>
    </row>
    <row r="241" spans="2:8" outlineLevel="1" x14ac:dyDescent="0.4">
      <c r="B241" s="5" t="s">
        <v>487</v>
      </c>
      <c r="C241" s="5" t="s">
        <v>488</v>
      </c>
      <c r="D241" s="5" t="s">
        <v>433</v>
      </c>
      <c r="E241" s="5" t="s">
        <v>489</v>
      </c>
      <c r="F241" s="5" t="s">
        <v>10</v>
      </c>
      <c r="G241" s="6">
        <v>1056</v>
      </c>
      <c r="H241" s="6">
        <v>3505.7</v>
      </c>
    </row>
    <row r="242" spans="2:8" outlineLevel="1" x14ac:dyDescent="0.4">
      <c r="B242" s="5" t="s">
        <v>487</v>
      </c>
      <c r="C242" s="5" t="s">
        <v>490</v>
      </c>
      <c r="D242" s="5" t="s">
        <v>433</v>
      </c>
      <c r="E242" s="5" t="s">
        <v>491</v>
      </c>
      <c r="F242" s="5" t="s">
        <v>10</v>
      </c>
      <c r="G242" s="6">
        <v>1056</v>
      </c>
      <c r="H242" s="6">
        <v>3505.7</v>
      </c>
    </row>
    <row r="243" spans="2:8" outlineLevel="1" x14ac:dyDescent="0.4">
      <c r="B243" s="5" t="s">
        <v>487</v>
      </c>
      <c r="C243" s="5" t="s">
        <v>492</v>
      </c>
      <c r="D243" s="5" t="s">
        <v>433</v>
      </c>
      <c r="E243" s="5" t="s">
        <v>493</v>
      </c>
      <c r="F243" s="5" t="s">
        <v>10</v>
      </c>
      <c r="G243" s="6">
        <v>1056</v>
      </c>
      <c r="H243" s="6">
        <v>3505.7</v>
      </c>
    </row>
    <row r="244" spans="2:8" outlineLevel="1" x14ac:dyDescent="0.4">
      <c r="B244" s="5" t="s">
        <v>106</v>
      </c>
      <c r="C244" s="5" t="s">
        <v>494</v>
      </c>
      <c r="D244" s="5" t="s">
        <v>433</v>
      </c>
      <c r="E244" s="5" t="s">
        <v>495</v>
      </c>
      <c r="F244" s="5" t="s">
        <v>10</v>
      </c>
      <c r="G244" s="6">
        <v>1056</v>
      </c>
      <c r="H244" s="6">
        <v>3505.7</v>
      </c>
    </row>
    <row r="245" spans="2:8" outlineLevel="1" x14ac:dyDescent="0.4">
      <c r="B245" s="5" t="s">
        <v>259</v>
      </c>
      <c r="C245" s="5" t="s">
        <v>496</v>
      </c>
      <c r="D245" s="5" t="s">
        <v>433</v>
      </c>
      <c r="E245" s="5" t="s">
        <v>497</v>
      </c>
      <c r="F245" s="5" t="s">
        <v>10</v>
      </c>
      <c r="G245" s="6">
        <v>1056</v>
      </c>
      <c r="H245" s="6">
        <v>3505.7</v>
      </c>
    </row>
    <row r="246" spans="2:8" outlineLevel="1" x14ac:dyDescent="0.4">
      <c r="B246" s="5" t="s">
        <v>259</v>
      </c>
      <c r="C246" s="5" t="s">
        <v>498</v>
      </c>
      <c r="D246" s="5" t="s">
        <v>433</v>
      </c>
      <c r="E246" s="5" t="s">
        <v>499</v>
      </c>
      <c r="F246" s="5" t="s">
        <v>10</v>
      </c>
      <c r="G246" s="6">
        <v>1056</v>
      </c>
      <c r="H246" s="6">
        <v>3505.7</v>
      </c>
    </row>
    <row r="247" spans="2:8" outlineLevel="1" x14ac:dyDescent="0.4">
      <c r="B247" s="5" t="s">
        <v>259</v>
      </c>
      <c r="C247" s="5" t="s">
        <v>500</v>
      </c>
      <c r="D247" s="5" t="s">
        <v>433</v>
      </c>
      <c r="E247" s="5" t="s">
        <v>501</v>
      </c>
      <c r="F247" s="5" t="s">
        <v>10</v>
      </c>
      <c r="G247" s="6">
        <v>1056</v>
      </c>
      <c r="H247" s="6">
        <v>3505.7</v>
      </c>
    </row>
    <row r="248" spans="2:8" outlineLevel="1" x14ac:dyDescent="0.4">
      <c r="B248" s="5" t="s">
        <v>259</v>
      </c>
      <c r="C248" s="5" t="s">
        <v>502</v>
      </c>
      <c r="D248" s="5" t="s">
        <v>433</v>
      </c>
      <c r="E248" s="5" t="s">
        <v>503</v>
      </c>
      <c r="F248" s="5" t="s">
        <v>10</v>
      </c>
      <c r="G248" s="6">
        <v>1056</v>
      </c>
      <c r="H248" s="6">
        <v>3505.7</v>
      </c>
    </row>
    <row r="249" spans="2:8" outlineLevel="1" x14ac:dyDescent="0.4">
      <c r="B249" s="5" t="s">
        <v>259</v>
      </c>
      <c r="C249" s="5" t="s">
        <v>504</v>
      </c>
      <c r="D249" s="5" t="s">
        <v>433</v>
      </c>
      <c r="E249" s="5" t="s">
        <v>505</v>
      </c>
      <c r="F249" s="5" t="s">
        <v>10</v>
      </c>
      <c r="G249" s="6">
        <v>1056</v>
      </c>
      <c r="H249" s="6">
        <v>3505.7</v>
      </c>
    </row>
    <row r="250" spans="2:8" outlineLevel="1" x14ac:dyDescent="0.4">
      <c r="B250" s="5" t="s">
        <v>259</v>
      </c>
      <c r="C250" s="5" t="s">
        <v>506</v>
      </c>
      <c r="D250" s="5" t="s">
        <v>433</v>
      </c>
      <c r="E250" s="5" t="s">
        <v>507</v>
      </c>
      <c r="F250" s="5" t="s">
        <v>10</v>
      </c>
      <c r="G250" s="6">
        <v>1056</v>
      </c>
      <c r="H250" s="6">
        <v>3505.7</v>
      </c>
    </row>
    <row r="251" spans="2:8" outlineLevel="1" x14ac:dyDescent="0.4">
      <c r="B251" s="5" t="s">
        <v>259</v>
      </c>
      <c r="C251" s="5" t="s">
        <v>508</v>
      </c>
      <c r="D251" s="5" t="s">
        <v>433</v>
      </c>
      <c r="E251" s="5" t="s">
        <v>509</v>
      </c>
      <c r="F251" s="5" t="s">
        <v>10</v>
      </c>
      <c r="G251" s="6">
        <v>1056</v>
      </c>
      <c r="H251" s="6">
        <v>3505.7</v>
      </c>
    </row>
    <row r="252" spans="2:8" outlineLevel="1" x14ac:dyDescent="0.4">
      <c r="B252" s="5" t="s">
        <v>259</v>
      </c>
      <c r="C252" s="5" t="s">
        <v>510</v>
      </c>
      <c r="D252" s="5" t="s">
        <v>433</v>
      </c>
      <c r="E252" s="5" t="s">
        <v>511</v>
      </c>
      <c r="F252" s="5" t="s">
        <v>10</v>
      </c>
      <c r="G252" s="6">
        <v>1056</v>
      </c>
      <c r="H252" s="6">
        <v>3505.7</v>
      </c>
    </row>
    <row r="253" spans="2:8" outlineLevel="1" x14ac:dyDescent="0.4">
      <c r="B253" s="5" t="s">
        <v>259</v>
      </c>
      <c r="C253" s="5" t="s">
        <v>512</v>
      </c>
      <c r="D253" s="5" t="s">
        <v>433</v>
      </c>
      <c r="E253" s="5" t="s">
        <v>513</v>
      </c>
      <c r="F253" s="5" t="s">
        <v>10</v>
      </c>
      <c r="G253" s="6">
        <v>1056</v>
      </c>
      <c r="H253" s="6">
        <v>3505.7</v>
      </c>
    </row>
    <row r="254" spans="2:8" outlineLevel="1" x14ac:dyDescent="0.4">
      <c r="B254" s="5" t="s">
        <v>514</v>
      </c>
      <c r="C254" s="5" t="s">
        <v>515</v>
      </c>
      <c r="D254" s="5" t="s">
        <v>433</v>
      </c>
      <c r="E254" s="5" t="s">
        <v>516</v>
      </c>
      <c r="F254" s="5" t="s">
        <v>10</v>
      </c>
      <c r="G254" s="6">
        <v>1056</v>
      </c>
      <c r="H254" s="6">
        <v>3505.7</v>
      </c>
    </row>
    <row r="255" spans="2:8" outlineLevel="1" x14ac:dyDescent="0.4">
      <c r="B255" s="5" t="s">
        <v>514</v>
      </c>
      <c r="C255" s="5" t="s">
        <v>517</v>
      </c>
      <c r="D255" s="5" t="s">
        <v>433</v>
      </c>
      <c r="E255" s="5" t="s">
        <v>518</v>
      </c>
      <c r="F255" s="5" t="s">
        <v>10</v>
      </c>
      <c r="G255" s="6">
        <v>1056</v>
      </c>
      <c r="H255" s="6">
        <v>3505.7</v>
      </c>
    </row>
    <row r="256" spans="2:8" outlineLevel="1" x14ac:dyDescent="0.4">
      <c r="B256" s="5" t="s">
        <v>514</v>
      </c>
      <c r="C256" s="5" t="s">
        <v>519</v>
      </c>
      <c r="D256" s="5" t="s">
        <v>433</v>
      </c>
      <c r="E256" s="5" t="s">
        <v>520</v>
      </c>
      <c r="F256" s="5" t="s">
        <v>10</v>
      </c>
      <c r="G256" s="6">
        <v>1056</v>
      </c>
      <c r="H256" s="6">
        <v>3505.7</v>
      </c>
    </row>
    <row r="257" spans="1:8" x14ac:dyDescent="0.4">
      <c r="A257" s="7" t="s">
        <v>521</v>
      </c>
      <c r="G257" s="21">
        <v>44352</v>
      </c>
      <c r="H257" s="13">
        <f>H215+H216+H217+H218+H219+H220+H221+H222+H223+H224+H225+H226+H227+H228+H229+H230+H231+H232+H233+H234+H235+H236+H237+H238+H239+H240+H241+H242+H243+H244+H245+H246+H247+H248+H249+H250+H251+H252+H253+H254+H255+H256</f>
        <v>147239.39999999997</v>
      </c>
    </row>
    <row r="258" spans="1:8" x14ac:dyDescent="0.4">
      <c r="A258" s="4" t="s">
        <v>522</v>
      </c>
    </row>
    <row r="259" spans="1:8" outlineLevel="1" x14ac:dyDescent="0.4">
      <c r="B259" s="5" t="s">
        <v>523</v>
      </c>
      <c r="C259" s="5" t="s">
        <v>524</v>
      </c>
      <c r="D259" s="22" t="s">
        <v>525</v>
      </c>
      <c r="E259" s="22" t="s">
        <v>526</v>
      </c>
      <c r="F259" s="22" t="s">
        <v>527</v>
      </c>
      <c r="G259" s="23">
        <v>672</v>
      </c>
      <c r="H259" s="6">
        <v>1800.96</v>
      </c>
    </row>
    <row r="260" spans="1:8" outlineLevel="1" x14ac:dyDescent="0.4">
      <c r="B260" s="5" t="s">
        <v>523</v>
      </c>
      <c r="C260" s="5" t="s">
        <v>528</v>
      </c>
      <c r="D260" s="22" t="s">
        <v>529</v>
      </c>
      <c r="E260" s="22" t="s">
        <v>530</v>
      </c>
      <c r="F260" s="22" t="s">
        <v>527</v>
      </c>
      <c r="G260" s="23">
        <v>504</v>
      </c>
      <c r="H260" s="6">
        <v>1350.72</v>
      </c>
    </row>
    <row r="261" spans="1:8" outlineLevel="1" x14ac:dyDescent="0.4">
      <c r="B261" s="5" t="s">
        <v>440</v>
      </c>
      <c r="C261" s="5" t="s">
        <v>531</v>
      </c>
      <c r="D261" s="5" t="s">
        <v>532</v>
      </c>
      <c r="E261" s="5" t="s">
        <v>533</v>
      </c>
      <c r="F261" s="5" t="s">
        <v>534</v>
      </c>
      <c r="G261" s="6">
        <v>1596</v>
      </c>
      <c r="H261" s="6">
        <v>3670.8</v>
      </c>
    </row>
    <row r="262" spans="1:8" outlineLevel="1" x14ac:dyDescent="0.4">
      <c r="B262" s="5" t="s">
        <v>440</v>
      </c>
      <c r="C262" s="5" t="s">
        <v>535</v>
      </c>
      <c r="D262" s="5" t="s">
        <v>536</v>
      </c>
      <c r="E262" s="5" t="s">
        <v>537</v>
      </c>
      <c r="F262" s="5" t="s">
        <v>534</v>
      </c>
      <c r="G262" s="6">
        <v>1596</v>
      </c>
      <c r="H262" s="6">
        <v>3670.8</v>
      </c>
    </row>
    <row r="263" spans="1:8" outlineLevel="1" x14ac:dyDescent="0.4">
      <c r="B263" s="5" t="s">
        <v>106</v>
      </c>
      <c r="C263" s="5" t="s">
        <v>538</v>
      </c>
      <c r="D263" s="22" t="s">
        <v>539</v>
      </c>
      <c r="E263" s="22" t="s">
        <v>540</v>
      </c>
      <c r="F263" s="22" t="s">
        <v>541</v>
      </c>
      <c r="G263" s="23">
        <v>1</v>
      </c>
      <c r="H263" s="6">
        <v>225</v>
      </c>
    </row>
    <row r="264" spans="1:8" outlineLevel="1" x14ac:dyDescent="0.4">
      <c r="B264" s="5" t="s">
        <v>71</v>
      </c>
      <c r="C264" s="5" t="s">
        <v>542</v>
      </c>
      <c r="D264" s="5" t="s">
        <v>543</v>
      </c>
      <c r="E264" s="5" t="s">
        <v>544</v>
      </c>
      <c r="F264" s="5" t="s">
        <v>10</v>
      </c>
      <c r="G264" s="6">
        <v>1848</v>
      </c>
      <c r="H264" s="6">
        <v>3836.58</v>
      </c>
    </row>
    <row r="265" spans="1:8" outlineLevel="1" x14ac:dyDescent="0.4">
      <c r="B265" s="5" t="s">
        <v>71</v>
      </c>
      <c r="C265" s="5" t="s">
        <v>545</v>
      </c>
      <c r="D265" s="5" t="s">
        <v>546</v>
      </c>
      <c r="E265" s="5" t="s">
        <v>547</v>
      </c>
      <c r="F265" s="5" t="s">
        <v>10</v>
      </c>
      <c r="G265" s="6">
        <v>1848</v>
      </c>
      <c r="H265" s="6">
        <v>3836.58</v>
      </c>
    </row>
    <row r="266" spans="1:8" outlineLevel="1" x14ac:dyDescent="0.4">
      <c r="B266" s="5" t="s">
        <v>71</v>
      </c>
      <c r="C266" s="5" t="s">
        <v>548</v>
      </c>
      <c r="D266" s="5" t="s">
        <v>543</v>
      </c>
      <c r="E266" s="5" t="s">
        <v>549</v>
      </c>
      <c r="F266" s="5" t="s">
        <v>10</v>
      </c>
      <c r="G266" s="6">
        <v>1848</v>
      </c>
      <c r="H266" s="6">
        <v>3836.58</v>
      </c>
    </row>
    <row r="267" spans="1:8" outlineLevel="1" x14ac:dyDescent="0.4">
      <c r="B267" s="5" t="s">
        <v>71</v>
      </c>
      <c r="C267" s="5" t="s">
        <v>550</v>
      </c>
      <c r="D267" s="5" t="s">
        <v>543</v>
      </c>
      <c r="E267" s="5" t="s">
        <v>551</v>
      </c>
      <c r="F267" s="5" t="s">
        <v>10</v>
      </c>
      <c r="G267" s="6">
        <v>1848</v>
      </c>
      <c r="H267" s="6">
        <v>3836.58</v>
      </c>
    </row>
    <row r="268" spans="1:8" outlineLevel="1" x14ac:dyDescent="0.4">
      <c r="B268" s="5" t="s">
        <v>375</v>
      </c>
      <c r="C268" s="5" t="s">
        <v>552</v>
      </c>
      <c r="D268" s="22" t="s">
        <v>553</v>
      </c>
      <c r="E268" s="22" t="s">
        <v>554</v>
      </c>
      <c r="F268" s="22" t="s">
        <v>10</v>
      </c>
      <c r="G268" s="23">
        <v>1848</v>
      </c>
      <c r="H268" s="6">
        <v>3836.58</v>
      </c>
    </row>
    <row r="269" spans="1:8" outlineLevel="1" x14ac:dyDescent="0.4">
      <c r="B269" s="5" t="s">
        <v>375</v>
      </c>
      <c r="C269" s="5" t="s">
        <v>555</v>
      </c>
      <c r="D269" s="22" t="s">
        <v>553</v>
      </c>
      <c r="E269" s="22" t="s">
        <v>556</v>
      </c>
      <c r="F269" s="22" t="s">
        <v>10</v>
      </c>
      <c r="G269" s="23">
        <v>1848</v>
      </c>
      <c r="H269" s="6">
        <v>3836.58</v>
      </c>
    </row>
    <row r="270" spans="1:8" outlineLevel="1" x14ac:dyDescent="0.4">
      <c r="B270" s="5" t="s">
        <v>83</v>
      </c>
      <c r="C270" s="5" t="s">
        <v>557</v>
      </c>
      <c r="D270" s="22" t="s">
        <v>558</v>
      </c>
      <c r="E270" s="22" t="s">
        <v>559</v>
      </c>
      <c r="F270" s="22" t="s">
        <v>560</v>
      </c>
      <c r="G270" s="23">
        <v>3</v>
      </c>
      <c r="H270" s="6">
        <v>675</v>
      </c>
    </row>
    <row r="271" spans="1:8" outlineLevel="1" x14ac:dyDescent="0.4">
      <c r="B271" s="5" t="s">
        <v>83</v>
      </c>
      <c r="C271" s="5" t="s">
        <v>561</v>
      </c>
      <c r="D271" s="22" t="s">
        <v>558</v>
      </c>
      <c r="E271" s="22" t="s">
        <v>562</v>
      </c>
      <c r="F271" s="22" t="s">
        <v>541</v>
      </c>
      <c r="G271" s="23">
        <v>1</v>
      </c>
      <c r="H271" s="6">
        <v>225</v>
      </c>
    </row>
    <row r="272" spans="1:8" outlineLevel="1" x14ac:dyDescent="0.4">
      <c r="B272" s="5" t="s">
        <v>83</v>
      </c>
      <c r="C272" s="5" t="s">
        <v>563</v>
      </c>
      <c r="D272" s="22" t="s">
        <v>525</v>
      </c>
      <c r="E272" s="22" t="s">
        <v>564</v>
      </c>
      <c r="F272" s="22" t="s">
        <v>541</v>
      </c>
      <c r="G272" s="23">
        <v>1</v>
      </c>
      <c r="H272" s="6">
        <v>225</v>
      </c>
    </row>
    <row r="273" spans="1:8" outlineLevel="1" x14ac:dyDescent="0.4">
      <c r="B273" s="5" t="s">
        <v>259</v>
      </c>
      <c r="C273" s="5" t="s">
        <v>565</v>
      </c>
      <c r="D273" s="22" t="s">
        <v>566</v>
      </c>
      <c r="E273" s="22" t="s">
        <v>567</v>
      </c>
      <c r="F273" s="22" t="s">
        <v>304</v>
      </c>
      <c r="G273" s="23">
        <v>1512</v>
      </c>
      <c r="H273" s="6">
        <v>3477.6</v>
      </c>
    </row>
    <row r="274" spans="1:8" outlineLevel="1" x14ac:dyDescent="0.4">
      <c r="B274" s="5" t="s">
        <v>259</v>
      </c>
      <c r="C274" s="5" t="s">
        <v>568</v>
      </c>
      <c r="D274" s="5" t="s">
        <v>569</v>
      </c>
      <c r="E274" s="5" t="s">
        <v>570</v>
      </c>
      <c r="F274" s="5" t="s">
        <v>299</v>
      </c>
      <c r="G274" s="24">
        <v>1848</v>
      </c>
      <c r="H274" s="6">
        <v>4250.3999999999996</v>
      </c>
    </row>
    <row r="275" spans="1:8" outlineLevel="1" x14ac:dyDescent="0.4">
      <c r="B275" s="5" t="s">
        <v>259</v>
      </c>
      <c r="C275" s="5" t="s">
        <v>571</v>
      </c>
      <c r="D275" s="22" t="s">
        <v>301</v>
      </c>
      <c r="E275" s="22" t="s">
        <v>572</v>
      </c>
      <c r="F275" s="22" t="s">
        <v>304</v>
      </c>
      <c r="G275" s="23">
        <v>1512</v>
      </c>
      <c r="H275" s="6">
        <v>3477.6</v>
      </c>
    </row>
    <row r="276" spans="1:8" outlineLevel="1" x14ac:dyDescent="0.4">
      <c r="B276" s="5" t="s">
        <v>514</v>
      </c>
      <c r="C276" s="5" t="s">
        <v>573</v>
      </c>
      <c r="D276" s="22" t="s">
        <v>574</v>
      </c>
      <c r="E276" s="22" t="s">
        <v>575</v>
      </c>
      <c r="F276" s="22" t="s">
        <v>541</v>
      </c>
      <c r="G276" s="23">
        <v>1</v>
      </c>
      <c r="H276" s="6">
        <v>225</v>
      </c>
    </row>
    <row r="277" spans="1:8" outlineLevel="1" x14ac:dyDescent="0.4">
      <c r="B277" s="5" t="s">
        <v>514</v>
      </c>
      <c r="C277" s="5" t="s">
        <v>576</v>
      </c>
      <c r="D277" s="22" t="s">
        <v>539</v>
      </c>
      <c r="E277" s="22" t="s">
        <v>577</v>
      </c>
      <c r="F277" s="22" t="s">
        <v>527</v>
      </c>
      <c r="G277" s="23">
        <v>504</v>
      </c>
      <c r="H277" s="6">
        <v>1350.72</v>
      </c>
    </row>
    <row r="278" spans="1:8" outlineLevel="1" x14ac:dyDescent="0.4">
      <c r="B278" s="5" t="s">
        <v>514</v>
      </c>
      <c r="C278" s="5" t="s">
        <v>578</v>
      </c>
      <c r="D278" s="22" t="s">
        <v>539</v>
      </c>
      <c r="E278" s="22" t="s">
        <v>579</v>
      </c>
      <c r="F278" s="22" t="s">
        <v>310</v>
      </c>
      <c r="G278" s="23">
        <v>1596</v>
      </c>
      <c r="H278" s="6">
        <v>3670.8</v>
      </c>
    </row>
    <row r="279" spans="1:8" outlineLevel="1" x14ac:dyDescent="0.4">
      <c r="B279" s="5" t="s">
        <v>580</v>
      </c>
      <c r="C279" s="5" t="s">
        <v>581</v>
      </c>
      <c r="D279" s="5" t="s">
        <v>582</v>
      </c>
      <c r="E279" s="5" t="s">
        <v>583</v>
      </c>
      <c r="F279" s="5" t="s">
        <v>299</v>
      </c>
      <c r="G279" s="24">
        <v>1848</v>
      </c>
      <c r="H279" s="6">
        <v>4250.3999999999996</v>
      </c>
    </row>
    <row r="280" spans="1:8" x14ac:dyDescent="0.4">
      <c r="A280" s="7" t="s">
        <v>584</v>
      </c>
      <c r="G280" s="12">
        <v>24283</v>
      </c>
      <c r="H280" s="13">
        <f>H259+H260+H261+H262+H263+H264+H265+H266+H267+H268+H269+H270+H271+H272+H273+H274+H275+H276+H277+H278+H279</f>
        <v>55565.280000000013</v>
      </c>
    </row>
    <row r="281" spans="1:8" x14ac:dyDescent="0.4">
      <c r="A281" s="4" t="s">
        <v>585</v>
      </c>
    </row>
    <row r="282" spans="1:8" outlineLevel="1" x14ac:dyDescent="0.4">
      <c r="B282" s="5" t="s">
        <v>37</v>
      </c>
      <c r="C282" s="5" t="s">
        <v>586</v>
      </c>
      <c r="D282" s="5" t="s">
        <v>587</v>
      </c>
      <c r="E282" s="5" t="s">
        <v>588</v>
      </c>
      <c r="F282" s="5" t="s">
        <v>299</v>
      </c>
      <c r="G282" s="24">
        <v>1848</v>
      </c>
      <c r="H282" s="6">
        <v>4250.3999999999996</v>
      </c>
    </row>
    <row r="283" spans="1:8" x14ac:dyDescent="0.4">
      <c r="A283" s="7" t="s">
        <v>589</v>
      </c>
      <c r="G283" s="12">
        <v>1848</v>
      </c>
      <c r="H283" s="13">
        <f>H282</f>
        <v>4250.3999999999996</v>
      </c>
    </row>
    <row r="287" spans="1:8" x14ac:dyDescent="0.4">
      <c r="A287" s="28" t="s">
        <v>590</v>
      </c>
      <c r="B287" s="26"/>
      <c r="C287" s="26"/>
      <c r="D287" s="26"/>
      <c r="E287" s="26"/>
      <c r="F287" s="26"/>
      <c r="G287" s="26"/>
    </row>
  </sheetData>
  <mergeCells count="3">
    <mergeCell ref="A1:G1"/>
    <mergeCell ref="A2:G2"/>
    <mergeCell ref="A287:G2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Janota</dc:creator>
  <cp:lastModifiedBy>Dylan Janota</cp:lastModifiedBy>
  <dcterms:created xsi:type="dcterms:W3CDTF">2026-05-24T18:08:49Z</dcterms:created>
  <dcterms:modified xsi:type="dcterms:W3CDTF">2026-06-07T16:07:04Z</dcterms:modified>
</cp:coreProperties>
</file>