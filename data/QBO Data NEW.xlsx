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Recon Project\data\"/>
    </mc:Choice>
  </mc:AlternateContent>
  <xr:revisionPtr revIDLastSave="0" documentId="13_ncr:1_{5699EA8E-9A61-4B76-B1A4-1E53C8574635}" xr6:coauthVersionLast="47" xr6:coauthVersionMax="47" xr10:uidLastSave="{00000000-0000-0000-0000-000000000000}"/>
  <bookViews>
    <workbookView xWindow="38290" yWindow="-110" windowWidth="38620" windowHeight="21100" xr2:uid="{37338C1F-0B4E-44D6-82BA-8872D0D04D2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84" i="1" l="1"/>
  <c r="I281" i="1"/>
  <c r="I258" i="1"/>
  <c r="I214" i="1"/>
  <c r="I150" i="1"/>
  <c r="I147" i="1"/>
  <c r="I130" i="1"/>
  <c r="I67" i="1"/>
  <c r="I53" i="1"/>
  <c r="I36" i="1"/>
</calcChain>
</file>

<file path=xl/sharedStrings.xml><?xml version="1.0" encoding="utf-8"?>
<sst xmlns="http://schemas.openxmlformats.org/spreadsheetml/2006/main" count="1305" uniqueCount="578">
  <si>
    <t>PERIOD END Sales by Product/Service Detail - copy</t>
  </si>
  <si>
    <t>January 18-February 14, 2026</t>
  </si>
  <si>
    <t>Date</t>
  </si>
  <si>
    <t>Num</t>
  </si>
  <si>
    <t>Memo/Description</t>
  </si>
  <si>
    <t>Customer name</t>
  </si>
  <si>
    <t>ALLSUPS 24 CASE</t>
  </si>
  <si>
    <t>01/19/2026</t>
  </si>
  <si>
    <t>20672</t>
  </si>
  <si>
    <t>993114</t>
  </si>
  <si>
    <t>AFFILIATED FOODS, INC.</t>
  </si>
  <si>
    <t>20679</t>
  </si>
  <si>
    <t>993121</t>
  </si>
  <si>
    <t>20683</t>
  </si>
  <si>
    <t>993125</t>
  </si>
  <si>
    <t>20680</t>
  </si>
  <si>
    <t>993122</t>
  </si>
  <si>
    <t>20678</t>
  </si>
  <si>
    <t>993120</t>
  </si>
  <si>
    <t>20676</t>
  </si>
  <si>
    <t>993118</t>
  </si>
  <si>
    <t>20674</t>
  </si>
  <si>
    <t>993116</t>
  </si>
  <si>
    <t>20677</t>
  </si>
  <si>
    <t>993119</t>
  </si>
  <si>
    <t>20675</t>
  </si>
  <si>
    <t>993117</t>
  </si>
  <si>
    <t>20682</t>
  </si>
  <si>
    <t>993124</t>
  </si>
  <si>
    <t>20685</t>
  </si>
  <si>
    <t>993127</t>
  </si>
  <si>
    <t>20673</t>
  </si>
  <si>
    <t>993115</t>
  </si>
  <si>
    <t>20681</t>
  </si>
  <si>
    <t>993123</t>
  </si>
  <si>
    <t>20684</t>
  </si>
  <si>
    <t>993126</t>
  </si>
  <si>
    <t>01/30/2026</t>
  </si>
  <si>
    <t>20821</t>
  </si>
  <si>
    <t>997984</t>
  </si>
  <si>
    <t>20825</t>
  </si>
  <si>
    <t>997988</t>
  </si>
  <si>
    <t>20822</t>
  </si>
  <si>
    <t>997985</t>
  </si>
  <si>
    <t>20823</t>
  </si>
  <si>
    <t>997986</t>
  </si>
  <si>
    <t>20827</t>
  </si>
  <si>
    <t>997990</t>
  </si>
  <si>
    <t>20820</t>
  </si>
  <si>
    <t>997983</t>
  </si>
  <si>
    <t>20826</t>
  </si>
  <si>
    <t>997989</t>
  </si>
  <si>
    <t>20816</t>
  </si>
  <si>
    <t>997982</t>
  </si>
  <si>
    <t>20824</t>
  </si>
  <si>
    <t>997987</t>
  </si>
  <si>
    <t>20815</t>
  </si>
  <si>
    <t>997981</t>
  </si>
  <si>
    <t>02/05/2026</t>
  </si>
  <si>
    <t>20907</t>
  </si>
  <si>
    <t>0105624</t>
  </si>
  <si>
    <t>20904</t>
  </si>
  <si>
    <t>0105621</t>
  </si>
  <si>
    <t>20905</t>
  </si>
  <si>
    <t>0105622</t>
  </si>
  <si>
    <t>20906</t>
  </si>
  <si>
    <t>0105623</t>
  </si>
  <si>
    <t>20908</t>
  </si>
  <si>
    <t>0105625</t>
  </si>
  <si>
    <t>01/29/2026</t>
  </si>
  <si>
    <t>20810</t>
  </si>
  <si>
    <t>FOOD CLUB 24 CASE</t>
  </si>
  <si>
    <t>997991</t>
  </si>
  <si>
    <t>20811</t>
  </si>
  <si>
    <t>997992</t>
  </si>
  <si>
    <t>20818</t>
  </si>
  <si>
    <t>997994</t>
  </si>
  <si>
    <t>20817</t>
  </si>
  <si>
    <t>997993</t>
  </si>
  <si>
    <t>20819</t>
  </si>
  <si>
    <t>997995</t>
  </si>
  <si>
    <t>02/04/2026</t>
  </si>
  <si>
    <t>20894</t>
  </si>
  <si>
    <t>0105612</t>
  </si>
  <si>
    <t>20895</t>
  </si>
  <si>
    <t>0105611</t>
  </si>
  <si>
    <t>20896</t>
  </si>
  <si>
    <t>0105613</t>
  </si>
  <si>
    <t>20897</t>
  </si>
  <si>
    <t>0105614</t>
  </si>
  <si>
    <t>20898</t>
  </si>
  <si>
    <t>0105615</t>
  </si>
  <si>
    <t>20902</t>
  </si>
  <si>
    <t>0105619</t>
  </si>
  <si>
    <t>20903</t>
  </si>
  <si>
    <t>0105620</t>
  </si>
  <si>
    <t>20900</t>
  </si>
  <si>
    <t>0105617</t>
  </si>
  <si>
    <t>20899</t>
  </si>
  <si>
    <t>0105616</t>
  </si>
  <si>
    <t>20901</t>
  </si>
  <si>
    <t>0105618</t>
  </si>
  <si>
    <t>01/28/2026</t>
  </si>
  <si>
    <t>20768</t>
  </si>
  <si>
    <t>FOOD KING 40 CASE</t>
  </si>
  <si>
    <t>997959</t>
  </si>
  <si>
    <t>20766</t>
  </si>
  <si>
    <t>997956</t>
  </si>
  <si>
    <t>20763</t>
  </si>
  <si>
    <t>997953</t>
  </si>
  <si>
    <t>20764</t>
  </si>
  <si>
    <t>997954</t>
  </si>
  <si>
    <t>20767</t>
  </si>
  <si>
    <t>997958</t>
  </si>
  <si>
    <t>20765</t>
  </si>
  <si>
    <t>997955</t>
  </si>
  <si>
    <t>20769</t>
  </si>
  <si>
    <t>997957</t>
  </si>
  <si>
    <t>20806</t>
  </si>
  <si>
    <t>997961</t>
  </si>
  <si>
    <t>20809</t>
  </si>
  <si>
    <t>FOOD KING 24 CASE</t>
  </si>
  <si>
    <t>997965</t>
  </si>
  <si>
    <t>20807</t>
  </si>
  <si>
    <t>997962</t>
  </si>
  <si>
    <t>20808</t>
  </si>
  <si>
    <t>997964</t>
  </si>
  <si>
    <t>20805</t>
  </si>
  <si>
    <t>99760</t>
  </si>
  <si>
    <t>20686</t>
  </si>
  <si>
    <t>LOWES 24 CASE</t>
  </si>
  <si>
    <t>993175</t>
  </si>
  <si>
    <t>20687</t>
  </si>
  <si>
    <t>993176</t>
  </si>
  <si>
    <t>01/21/2026</t>
  </si>
  <si>
    <t>20719</t>
  </si>
  <si>
    <t>LOWES 40 CASE</t>
  </si>
  <si>
    <t>997977</t>
  </si>
  <si>
    <t>20716</t>
  </si>
  <si>
    <t>977974</t>
  </si>
  <si>
    <t>20722</t>
  </si>
  <si>
    <t>997980</t>
  </si>
  <si>
    <t>20712</t>
  </si>
  <si>
    <t>997970</t>
  </si>
  <si>
    <t>20717</t>
  </si>
  <si>
    <t>997975</t>
  </si>
  <si>
    <t>20721</t>
  </si>
  <si>
    <t>997979</t>
  </si>
  <si>
    <t>20710</t>
  </si>
  <si>
    <t>997968</t>
  </si>
  <si>
    <t>20711</t>
  </si>
  <si>
    <t>997969</t>
  </si>
  <si>
    <t>20714</t>
  </si>
  <si>
    <t>997972</t>
  </si>
  <si>
    <t>20713</t>
  </si>
  <si>
    <t>997971</t>
  </si>
  <si>
    <t>20715</t>
  </si>
  <si>
    <t>997973</t>
  </si>
  <si>
    <t>20709</t>
  </si>
  <si>
    <t>997967</t>
  </si>
  <si>
    <t>20718</t>
  </si>
  <si>
    <t>997976</t>
  </si>
  <si>
    <t>20720</t>
  </si>
  <si>
    <t>997978</t>
  </si>
  <si>
    <t>01/23/2026</t>
  </si>
  <si>
    <t>20691</t>
  </si>
  <si>
    <t>993178</t>
  </si>
  <si>
    <t>20704</t>
  </si>
  <si>
    <t>993191</t>
  </si>
  <si>
    <t>20701</t>
  </si>
  <si>
    <t>993188</t>
  </si>
  <si>
    <t>20697</t>
  </si>
  <si>
    <t>993184</t>
  </si>
  <si>
    <t>20702</t>
  </si>
  <si>
    <t>993189</t>
  </si>
  <si>
    <t>20703</t>
  </si>
  <si>
    <t>993190</t>
  </si>
  <si>
    <t>20693</t>
  </si>
  <si>
    <t>993180</t>
  </si>
  <si>
    <t>20708</t>
  </si>
  <si>
    <t>997966</t>
  </si>
  <si>
    <t>20699</t>
  </si>
  <si>
    <t>993186</t>
  </si>
  <si>
    <t>20707</t>
  </si>
  <si>
    <t>993194</t>
  </si>
  <si>
    <t>20700</t>
  </si>
  <si>
    <t>993187</t>
  </si>
  <si>
    <t>20695</t>
  </si>
  <si>
    <t>993182</t>
  </si>
  <si>
    <t>20698</t>
  </si>
  <si>
    <t>993185</t>
  </si>
  <si>
    <t>20694</t>
  </si>
  <si>
    <t>993181</t>
  </si>
  <si>
    <t>20692</t>
  </si>
  <si>
    <t>993179</t>
  </si>
  <si>
    <t>20690</t>
  </si>
  <si>
    <t>993177</t>
  </si>
  <si>
    <t>20696</t>
  </si>
  <si>
    <t>993183</t>
  </si>
  <si>
    <t>20705</t>
  </si>
  <si>
    <t>993192</t>
  </si>
  <si>
    <t>20706</t>
  </si>
  <si>
    <t>993193</t>
  </si>
  <si>
    <t>20912</t>
  </si>
  <si>
    <t>0105680</t>
  </si>
  <si>
    <t>20911</t>
  </si>
  <si>
    <t>0105679</t>
  </si>
  <si>
    <t>20909</t>
  </si>
  <si>
    <t>0105677</t>
  </si>
  <si>
    <t>20910</t>
  </si>
  <si>
    <t>0105678</t>
  </si>
  <si>
    <t>02/06/2026</t>
  </si>
  <si>
    <t>20924</t>
  </si>
  <si>
    <t>0105690</t>
  </si>
  <si>
    <t>20919</t>
  </si>
  <si>
    <t>0105685</t>
  </si>
  <si>
    <t>20931</t>
  </si>
  <si>
    <t>0105697</t>
  </si>
  <si>
    <t>20923</t>
  </si>
  <si>
    <t>0105689</t>
  </si>
  <si>
    <t>20929</t>
  </si>
  <si>
    <t>0105695</t>
  </si>
  <si>
    <t>20920</t>
  </si>
  <si>
    <t>0105686</t>
  </si>
  <si>
    <t>20926</t>
  </si>
  <si>
    <t>0105692</t>
  </si>
  <si>
    <t>20915</t>
  </si>
  <si>
    <t>0105681</t>
  </si>
  <si>
    <t>20930</t>
  </si>
  <si>
    <t>0105696</t>
  </si>
  <si>
    <t>20927</t>
  </si>
  <si>
    <t>0105693</t>
  </si>
  <si>
    <t>20922</t>
  </si>
  <si>
    <t>0105688</t>
  </si>
  <si>
    <t>20918</t>
  </si>
  <si>
    <t>0105684</t>
  </si>
  <si>
    <t>20933</t>
  </si>
  <si>
    <t>0105699</t>
  </si>
  <si>
    <t>20932</t>
  </si>
  <si>
    <t>0105698</t>
  </si>
  <si>
    <t>20916</t>
  </si>
  <si>
    <t>0105682</t>
  </si>
  <si>
    <t>20917</t>
  </si>
  <si>
    <t>0105683</t>
  </si>
  <si>
    <t>20925</t>
  </si>
  <si>
    <t>0105691</t>
  </si>
  <si>
    <t>20928</t>
  </si>
  <si>
    <t>0105694</t>
  </si>
  <si>
    <t>20921</t>
  </si>
  <si>
    <t>0105687</t>
  </si>
  <si>
    <t>02/07/2026</t>
  </si>
  <si>
    <t>20953</t>
  </si>
  <si>
    <t>0105701</t>
  </si>
  <si>
    <t>02/10/2026</t>
  </si>
  <si>
    <t>20968-C</t>
  </si>
  <si>
    <t>0105675</t>
  </si>
  <si>
    <t>20969-C</t>
  </si>
  <si>
    <t>0105676</t>
  </si>
  <si>
    <t>20965</t>
  </si>
  <si>
    <t>0105673</t>
  </si>
  <si>
    <t>20959</t>
  </si>
  <si>
    <t>0105668</t>
  </si>
  <si>
    <t>20964</t>
  </si>
  <si>
    <t>0105672</t>
  </si>
  <si>
    <t>20966</t>
  </si>
  <si>
    <t>0105674</t>
  </si>
  <si>
    <t>20961</t>
  </si>
  <si>
    <t>0105669</t>
  </si>
  <si>
    <t>20954</t>
  </si>
  <si>
    <t>0105662</t>
  </si>
  <si>
    <t>20952C</t>
  </si>
  <si>
    <t>0105700</t>
  </si>
  <si>
    <t>20951C</t>
  </si>
  <si>
    <t>20955</t>
  </si>
  <si>
    <t>0105663</t>
  </si>
  <si>
    <t>20958</t>
  </si>
  <si>
    <t>0105666</t>
  </si>
  <si>
    <t>20962</t>
  </si>
  <si>
    <t>0105670</t>
  </si>
  <si>
    <t>20960</t>
  </si>
  <si>
    <t>0105667</t>
  </si>
  <si>
    <t>20957</t>
  </si>
  <si>
    <t>0105665</t>
  </si>
  <si>
    <t>20963</t>
  </si>
  <si>
    <t>0105671</t>
  </si>
  <si>
    <t>20956</t>
  </si>
  <si>
    <t>0105664</t>
  </si>
  <si>
    <t>PLAINS 24 CASE</t>
  </si>
  <si>
    <t>20770</t>
  </si>
  <si>
    <t>1338</t>
  </si>
  <si>
    <t>PLAINS DAIRY, LLC</t>
  </si>
  <si>
    <t>PPL 24 CASE</t>
  </si>
  <si>
    <t>20864</t>
  </si>
  <si>
    <t>FLI01202026</t>
  </si>
  <si>
    <t>FASTLANE ICE LLC</t>
  </si>
  <si>
    <t>20812</t>
  </si>
  <si>
    <t>AIC01282026</t>
  </si>
  <si>
    <t>Amarillo Ice Company</t>
  </si>
  <si>
    <t>20914</t>
  </si>
  <si>
    <t>WW01232026</t>
  </si>
  <si>
    <t>THE WATER WORKS</t>
  </si>
  <si>
    <t>01/31/2026</t>
  </si>
  <si>
    <t>20842</t>
  </si>
  <si>
    <t>997898</t>
  </si>
  <si>
    <t>20846</t>
  </si>
  <si>
    <t>997901</t>
  </si>
  <si>
    <t>20837</t>
  </si>
  <si>
    <t>997893</t>
  </si>
  <si>
    <t>20843</t>
  </si>
  <si>
    <t>997900</t>
  </si>
  <si>
    <t>20833</t>
  </si>
  <si>
    <t>997889</t>
  </si>
  <si>
    <t>20847</t>
  </si>
  <si>
    <t>997903</t>
  </si>
  <si>
    <t>20844</t>
  </si>
  <si>
    <t>997899</t>
  </si>
  <si>
    <t>20830</t>
  </si>
  <si>
    <t>997886</t>
  </si>
  <si>
    <t>20839</t>
  </si>
  <si>
    <t>997895</t>
  </si>
  <si>
    <t>20831</t>
  </si>
  <si>
    <t>997887</t>
  </si>
  <si>
    <t>20832</t>
  </si>
  <si>
    <t>997888</t>
  </si>
  <si>
    <t>20841</t>
  </si>
  <si>
    <t>997896</t>
  </si>
  <si>
    <t>20834</t>
  </si>
  <si>
    <t>997890</t>
  </si>
  <si>
    <t>20835</t>
  </si>
  <si>
    <t>997891</t>
  </si>
  <si>
    <t>20836</t>
  </si>
  <si>
    <t>997892</t>
  </si>
  <si>
    <t>20838</t>
  </si>
  <si>
    <t>997894</t>
  </si>
  <si>
    <t>20845</t>
  </si>
  <si>
    <t>997902</t>
  </si>
  <si>
    <t>20840</t>
  </si>
  <si>
    <t>997897</t>
  </si>
  <si>
    <t>20848</t>
  </si>
  <si>
    <t>997904</t>
  </si>
  <si>
    <t>02/02/2026</t>
  </si>
  <si>
    <t>20850</t>
  </si>
  <si>
    <t>997906</t>
  </si>
  <si>
    <t>20852</t>
  </si>
  <si>
    <t>997905</t>
  </si>
  <si>
    <t>20858</t>
  </si>
  <si>
    <t>997914</t>
  </si>
  <si>
    <t>20859</t>
  </si>
  <si>
    <t>997915</t>
  </si>
  <si>
    <t>20853</t>
  </si>
  <si>
    <t>997909</t>
  </si>
  <si>
    <t>20856</t>
  </si>
  <si>
    <t>997912</t>
  </si>
  <si>
    <t>20860</t>
  </si>
  <si>
    <t>997908</t>
  </si>
  <si>
    <t>20855</t>
  </si>
  <si>
    <t>997911</t>
  </si>
  <si>
    <t>20851</t>
  </si>
  <si>
    <t>997907</t>
  </si>
  <si>
    <t>20861</t>
  </si>
  <si>
    <t>0105627</t>
  </si>
  <si>
    <t>20854</t>
  </si>
  <si>
    <t>997910</t>
  </si>
  <si>
    <t>20857</t>
  </si>
  <si>
    <t>997913</t>
  </si>
  <si>
    <t>02/03/2026</t>
  </si>
  <si>
    <t>20878</t>
  </si>
  <si>
    <t>0105641</t>
  </si>
  <si>
    <t>20867</t>
  </si>
  <si>
    <t>0105630</t>
  </si>
  <si>
    <t>20877</t>
  </si>
  <si>
    <t>0105640</t>
  </si>
  <si>
    <t>20879</t>
  </si>
  <si>
    <t>0105642</t>
  </si>
  <si>
    <t>20870</t>
  </si>
  <si>
    <t>0105633</t>
  </si>
  <si>
    <t>20871</t>
  </si>
  <si>
    <t>0105634</t>
  </si>
  <si>
    <t>20876</t>
  </si>
  <si>
    <t>0105639</t>
  </si>
  <si>
    <t>20866</t>
  </si>
  <si>
    <t>0105629</t>
  </si>
  <si>
    <t>20872</t>
  </si>
  <si>
    <t>0105635</t>
  </si>
  <si>
    <t>20874</t>
  </si>
  <si>
    <t>0105637</t>
  </si>
  <si>
    <t>20880</t>
  </si>
  <si>
    <t>0105643</t>
  </si>
  <si>
    <t>20868</t>
  </si>
  <si>
    <t>0105631</t>
  </si>
  <si>
    <t>20869</t>
  </si>
  <si>
    <t>0105632</t>
  </si>
  <si>
    <t>20865</t>
  </si>
  <si>
    <t>0105628</t>
  </si>
  <si>
    <t>20875</t>
  </si>
  <si>
    <t>0105638</t>
  </si>
  <si>
    <t>20882</t>
  </si>
  <si>
    <t>0105645</t>
  </si>
  <si>
    <t>20887</t>
  </si>
  <si>
    <t>0105650</t>
  </si>
  <si>
    <t>20891</t>
  </si>
  <si>
    <t>0105654</t>
  </si>
  <si>
    <t>20892</t>
  </si>
  <si>
    <t>0105655</t>
  </si>
  <si>
    <t>20893</t>
  </si>
  <si>
    <t>0105656</t>
  </si>
  <si>
    <t>20888</t>
  </si>
  <si>
    <t>0105651</t>
  </si>
  <si>
    <t>20889</t>
  </si>
  <si>
    <t>0105652</t>
  </si>
  <si>
    <t>20890</t>
  </si>
  <si>
    <t>0105653</t>
  </si>
  <si>
    <t>20883</t>
  </si>
  <si>
    <t>0105646</t>
  </si>
  <si>
    <t>20884</t>
  </si>
  <si>
    <t>0105647</t>
  </si>
  <si>
    <t>20885</t>
  </si>
  <si>
    <t>0105648</t>
  </si>
  <si>
    <t>20886</t>
  </si>
  <si>
    <t>0105649</t>
  </si>
  <si>
    <t>20813</t>
  </si>
  <si>
    <t>1344</t>
  </si>
  <si>
    <t>PPL 40 CASE</t>
  </si>
  <si>
    <t>20724</t>
  </si>
  <si>
    <t>997921</t>
  </si>
  <si>
    <t>20723</t>
  </si>
  <si>
    <t>997920</t>
  </si>
  <si>
    <t>20725</t>
  </si>
  <si>
    <t>997922</t>
  </si>
  <si>
    <t>01/22/2026</t>
  </si>
  <si>
    <t>20739</t>
  </si>
  <si>
    <t>997936</t>
  </si>
  <si>
    <t>20734</t>
  </si>
  <si>
    <t>997931</t>
  </si>
  <si>
    <t>20731</t>
  </si>
  <si>
    <t>997928</t>
  </si>
  <si>
    <t>20740</t>
  </si>
  <si>
    <t>997937</t>
  </si>
  <si>
    <t>20738</t>
  </si>
  <si>
    <t>997935</t>
  </si>
  <si>
    <t>20732</t>
  </si>
  <si>
    <t>997929</t>
  </si>
  <si>
    <t>20729</t>
  </si>
  <si>
    <t>997926</t>
  </si>
  <si>
    <t>20735</t>
  </si>
  <si>
    <t>997932</t>
  </si>
  <si>
    <t>20726</t>
  </si>
  <si>
    <t>997923</t>
  </si>
  <si>
    <t>20743</t>
  </si>
  <si>
    <t>997940</t>
  </si>
  <si>
    <t>20742</t>
  </si>
  <si>
    <t>997939</t>
  </si>
  <si>
    <t>20744</t>
  </si>
  <si>
    <t>997941</t>
  </si>
  <si>
    <t>20733</t>
  </si>
  <si>
    <t>997930</t>
  </si>
  <si>
    <t>20730</t>
  </si>
  <si>
    <t>997927</t>
  </si>
  <si>
    <t>20736</t>
  </si>
  <si>
    <t>997933</t>
  </si>
  <si>
    <t>20727</t>
  </si>
  <si>
    <t>997924</t>
  </si>
  <si>
    <t>20737</t>
  </si>
  <si>
    <t>997934</t>
  </si>
  <si>
    <t>20741</t>
  </si>
  <si>
    <t>997938</t>
  </si>
  <si>
    <t>20728</t>
  </si>
  <si>
    <t>997925</t>
  </si>
  <si>
    <t>20756</t>
  </si>
  <si>
    <t>997943</t>
  </si>
  <si>
    <t>20758</t>
  </si>
  <si>
    <t>997945</t>
  </si>
  <si>
    <t>20757</t>
  </si>
  <si>
    <t>997944</t>
  </si>
  <si>
    <t>20755</t>
  </si>
  <si>
    <t>997942</t>
  </si>
  <si>
    <t>01/26/2026</t>
  </si>
  <si>
    <t>20759</t>
  </si>
  <si>
    <t>997946</t>
  </si>
  <si>
    <t>20761</t>
  </si>
  <si>
    <t>997948</t>
  </si>
  <si>
    <t>20760</t>
  </si>
  <si>
    <t>997947</t>
  </si>
  <si>
    <t>20762</t>
  </si>
  <si>
    <t>997949</t>
  </si>
  <si>
    <t>20977</t>
  </si>
  <si>
    <t>0109623</t>
  </si>
  <si>
    <t>20971</t>
  </si>
  <si>
    <t>0109017</t>
  </si>
  <si>
    <t>20975</t>
  </si>
  <si>
    <t>0109621</t>
  </si>
  <si>
    <t>20972</t>
  </si>
  <si>
    <t>0109618</t>
  </si>
  <si>
    <t>20976</t>
  </si>
  <si>
    <t>0109622</t>
  </si>
  <si>
    <t>20973</t>
  </si>
  <si>
    <t>0109619</t>
  </si>
  <si>
    <t>20974</t>
  </si>
  <si>
    <t>0109620</t>
  </si>
  <si>
    <t>20967</t>
  </si>
  <si>
    <t>0109615</t>
  </si>
  <si>
    <t>20970</t>
  </si>
  <si>
    <t>0109616</t>
  </si>
  <si>
    <t>02/11/2026</t>
  </si>
  <si>
    <t>20983</t>
  </si>
  <si>
    <t>109624</t>
  </si>
  <si>
    <t>20985</t>
  </si>
  <si>
    <t>10926</t>
  </si>
  <si>
    <t>20984</t>
  </si>
  <si>
    <t>109625</t>
  </si>
  <si>
    <t>01/20/2026</t>
  </si>
  <si>
    <t>20752</t>
  </si>
  <si>
    <t xml:space="preserve">PANHANDLE PURE 24 CASE </t>
  </si>
  <si>
    <t>4506081637 - Gonzales, Rolando</t>
  </si>
  <si>
    <t>Border States</t>
  </si>
  <si>
    <t>20753</t>
  </si>
  <si>
    <t>PANHANDLE PURE 24 CASE</t>
  </si>
  <si>
    <t>4506081703 - Gonzales, Rolando</t>
  </si>
  <si>
    <t>20750</t>
  </si>
  <si>
    <t>Spring House 24 CASE</t>
  </si>
  <si>
    <t>1162025OK</t>
  </si>
  <si>
    <t>SPRING HOUSE WATER COMPANY, INC.</t>
  </si>
  <si>
    <t>20751</t>
  </si>
  <si>
    <t xml:space="preserve">Spring House 24 Case </t>
  </si>
  <si>
    <t>1162026TX - Justin Looney,</t>
  </si>
  <si>
    <t>20754</t>
  </si>
  <si>
    <t xml:space="preserve">PPL 24 CASE </t>
  </si>
  <si>
    <t>Ruben</t>
  </si>
  <si>
    <t>DOCK SALES</t>
  </si>
  <si>
    <t>20800</t>
  </si>
  <si>
    <t xml:space="preserve">Juniors </t>
  </si>
  <si>
    <t>997916</t>
  </si>
  <si>
    <t>20801</t>
  </si>
  <si>
    <t>Juniors 24 Case</t>
  </si>
  <si>
    <t>997917</t>
  </si>
  <si>
    <t>20802</t>
  </si>
  <si>
    <t>997918</t>
  </si>
  <si>
    <t>20803</t>
  </si>
  <si>
    <t>997919</t>
  </si>
  <si>
    <t>20881</t>
  </si>
  <si>
    <t>PP 24 CASE</t>
  </si>
  <si>
    <t>0105644</t>
  </si>
  <si>
    <t>20873</t>
  </si>
  <si>
    <t>0105636</t>
  </si>
  <si>
    <t>20849</t>
  </si>
  <si>
    <t xml:space="preserve">Panhandle Pure 24 Case </t>
  </si>
  <si>
    <t>DAVID</t>
  </si>
  <si>
    <t>County Waste Services</t>
  </si>
  <si>
    <t>20862</t>
  </si>
  <si>
    <t>Brian Hulsey</t>
  </si>
  <si>
    <t>20863</t>
  </si>
  <si>
    <t>WILEY HICK CONST - JUSTIN GRAVE</t>
  </si>
  <si>
    <t>20987</t>
  </si>
  <si>
    <t>PPL 24 CASSE</t>
  </si>
  <si>
    <t>FLI#02022026</t>
  </si>
  <si>
    <t>20988</t>
  </si>
  <si>
    <t xml:space="preserve">TOOT N TOTUM </t>
  </si>
  <si>
    <t>1439</t>
  </si>
  <si>
    <t>20989</t>
  </si>
  <si>
    <t>FLI#02102026 CROSS 49 SUPPLY</t>
  </si>
  <si>
    <t>20950</t>
  </si>
  <si>
    <t>PPL 24</t>
  </si>
  <si>
    <t>MidWest Fab &amp; Construction Greg</t>
  </si>
  <si>
    <t>20986</t>
  </si>
  <si>
    <t>4506086709</t>
  </si>
  <si>
    <t>20990</t>
  </si>
  <si>
    <t>WW#02022026</t>
  </si>
  <si>
    <t>02/13/2026</t>
  </si>
  <si>
    <t>21001</t>
  </si>
  <si>
    <t xml:space="preserve">Toot n Totum </t>
  </si>
  <si>
    <t>1452</t>
  </si>
  <si>
    <t>20913</t>
  </si>
  <si>
    <t>TOOTN TOTUM 24 CASE</t>
  </si>
  <si>
    <t>1397</t>
  </si>
  <si>
    <t xml:space="preserve"> Wednesday, February 18, 2026 02:27 PM GMT-06:00</t>
  </si>
  <si>
    <t>AMOUNT</t>
  </si>
  <si>
    <t>P.O. NUMBER</t>
  </si>
  <si>
    <t>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</si>
</sst>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10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ptos Narrow"/>
      <family val="2"/>
      <scheme val="minor"/>
    </font>
    <font>
      <b/>
      <sz val="9"/>
      <color theme="1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12"/>
      <color theme="0"/>
      <name val="Arial"/>
      <family val="2"/>
    </font>
    <font>
      <b/>
      <sz val="8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0" fontId="1" fillId="0" borderId="0"/>
    <xf numFmtId="0" fontId="4" fillId="0" borderId="1"/>
  </cellStyleXfs>
  <cellXfs count="18">
    <xf numFmtId="0" fontId="0" fillId="0" borderId="0" xfId="0"/>
    <xf numFmtId="0" fontId="1" fillId="0" borderId="0" xfId="1" applyAlignment="1">
      <alignment wrapText="1"/>
    </xf>
    <xf numFmtId="0" fontId="1" fillId="0" borderId="0" xfId="1"/>
    <xf numFmtId="0" fontId="5" fillId="0" borderId="1" xfId="2" applyFont="1" applyAlignment="1">
      <alignment horizontal="center" wrapText="1"/>
    </xf>
    <xf numFmtId="0" fontId="6" fillId="0" borderId="0" xfId="1" applyFont="1" applyAlignment="1">
      <alignment horizontal="left" wrapText="1"/>
    </xf>
    <xf numFmtId="0" fontId="6" fillId="0" borderId="0" xfId="1" applyFont="1" applyAlignment="1">
      <alignment wrapText="1"/>
    </xf>
    <xf numFmtId="4" fontId="6" fillId="0" borderId="0" xfId="1" applyNumberFormat="1" applyFont="1" applyAlignment="1">
      <alignment wrapText="1"/>
    </xf>
    <xf numFmtId="0" fontId="7" fillId="0" borderId="0" xfId="1" applyFont="1" applyAlignment="1">
      <alignment horizontal="left" wrapText="1"/>
    </xf>
    <xf numFmtId="4" fontId="8" fillId="2" borderId="2" xfId="1" applyNumberFormat="1" applyFont="1" applyFill="1" applyBorder="1" applyAlignment="1">
      <alignment wrapText="1"/>
    </xf>
    <xf numFmtId="164" fontId="8" fillId="2" borderId="2" xfId="1" applyNumberFormat="1" applyFont="1" applyFill="1" applyBorder="1" applyAlignment="1">
      <alignment wrapText="1"/>
    </xf>
    <xf numFmtId="4" fontId="7" fillId="0" borderId="2" xfId="1" applyNumberFormat="1" applyFont="1" applyBorder="1" applyAlignment="1">
      <alignment wrapText="1"/>
    </xf>
    <xf numFmtId="164" fontId="7" fillId="0" borderId="2" xfId="1" applyNumberFormat="1" applyFont="1" applyBorder="1" applyAlignment="1">
      <alignment wrapText="1"/>
    </xf>
    <xf numFmtId="4" fontId="9" fillId="3" borderId="2" xfId="1" applyNumberFormat="1" applyFont="1" applyFill="1" applyBorder="1" applyAlignment="1">
      <alignment wrapText="1"/>
    </xf>
    <xf numFmtId="0" fontId="3" fillId="0" borderId="0" xfId="1" applyFont="1" applyAlignment="1">
      <alignment horizontal="center" wrapText="1"/>
    </xf>
    <xf numFmtId="0" fontId="2" fillId="0" borderId="0" xfId="1" applyFont="1" applyAlignment="1">
      <alignment horizontal="center" wrapText="1"/>
    </xf>
    <xf numFmtId="0" fontId="1" fillId="0" borderId="0" xfId="1" applyAlignment="1">
      <alignment wrapText="1"/>
    </xf>
    <xf numFmtId="0" fontId="3" fillId="0" borderId="0" xfId="1" applyFont="1" applyAlignment="1">
      <alignment horizontal="center" wrapText="1"/>
    </xf>
    <xf numFmtId="0" fontId="6" fillId="0" borderId="0" xfId="1" applyFont="1" applyAlignment="1">
      <alignment horizontal="center" wrapText="1"/>
    </xf>
  </cellXfs>
  <cellStyles count="3">
    <cellStyle name="HeaderCellStyle" xfId="2" xr:uid="{C196A83B-0D9B-4C1C-B1F0-78C1D269FAD8}"/>
    <cellStyle name="Normal" xfId="0" builtinId="0"/>
    <cellStyle name="Normal 2" xfId="1" xr:uid="{6E4DCD68-61D9-4B8A-AFE2-8C3B4ECD341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C8C8A-AB84-4540-BC12-C1A67DD9ED2D}">
  <dimension ref="A1:I288"/>
  <sheetViews>
    <sheetView tabSelected="1" workbookViewId="0">
      <selection activeCell="N14" sqref="N14"/>
    </sheetView>
  </sheetViews>
  <sheetFormatPr defaultColWidth="12.81640625" defaultRowHeight="16" outlineLevelRow="1" x14ac:dyDescent="0.4"/>
  <cols>
    <col min="1" max="1" width="4.08984375" style="1" bestFit="1" customWidth="1"/>
    <col min="2" max="2" width="18.6328125" style="1" customWidth="1"/>
    <col min="3" max="3" width="10.54296875" style="1" customWidth="1"/>
    <col min="4" max="4" width="8.54296875" style="1" customWidth="1"/>
    <col min="5" max="5" width="23.26953125" style="1" customWidth="1"/>
    <col min="6" max="6" width="31.1796875" style="1" customWidth="1"/>
    <col min="7" max="7" width="32.1796875" style="1" customWidth="1"/>
    <col min="8" max="8" width="11.453125" style="1" bestFit="1" customWidth="1"/>
    <col min="9" max="9" width="18.453125" style="1" customWidth="1"/>
    <col min="10" max="16384" width="12.81640625" style="2"/>
  </cols>
  <sheetData>
    <row r="1" spans="1:9" ht="18" x14ac:dyDescent="0.4">
      <c r="A1" s="14" t="s">
        <v>0</v>
      </c>
      <c r="B1" s="14"/>
      <c r="C1" s="15"/>
      <c r="D1" s="15"/>
      <c r="E1" s="15"/>
      <c r="F1" s="15"/>
      <c r="G1" s="15"/>
      <c r="H1" s="15"/>
    </row>
    <row r="2" spans="1:9" x14ac:dyDescent="0.4">
      <c r="A2" s="16" t="s">
        <v>1</v>
      </c>
      <c r="B2" s="16"/>
      <c r="C2" s="15"/>
      <c r="D2" s="15"/>
      <c r="E2" s="15"/>
      <c r="F2" s="15"/>
      <c r="G2" s="15"/>
      <c r="H2" s="15"/>
    </row>
    <row r="3" spans="1:9" x14ac:dyDescent="0.4">
      <c r="A3" s="13"/>
      <c r="B3" s="13"/>
    </row>
    <row r="5" spans="1:9" x14ac:dyDescent="0.4">
      <c r="C5" s="3" t="s">
        <v>2</v>
      </c>
      <c r="D5" s="3" t="s">
        <v>3</v>
      </c>
      <c r="E5" s="3" t="s">
        <v>4</v>
      </c>
      <c r="F5" s="3" t="s">
        <v>576</v>
      </c>
      <c r="G5" s="3" t="s">
        <v>5</v>
      </c>
      <c r="H5" s="3" t="s">
        <v>577</v>
      </c>
      <c r="I5" s="3" t="s">
        <v>575</v>
      </c>
    </row>
    <row r="6" spans="1:9" x14ac:dyDescent="0.4">
      <c r="A6" s="4"/>
      <c r="B6" s="4"/>
    </row>
    <row r="7" spans="1:9" outlineLevel="1" x14ac:dyDescent="0.4">
      <c r="A7" s="1">
        <v>11</v>
      </c>
      <c r="C7" s="5" t="s">
        <v>7</v>
      </c>
      <c r="D7" s="5" t="s">
        <v>8</v>
      </c>
      <c r="E7" s="5" t="s">
        <v>6</v>
      </c>
      <c r="F7" s="5" t="s">
        <v>9</v>
      </c>
      <c r="G7" s="5" t="s">
        <v>10</v>
      </c>
      <c r="H7" s="6">
        <v>1848</v>
      </c>
      <c r="I7" s="6">
        <v>3836.58</v>
      </c>
    </row>
    <row r="8" spans="1:9" outlineLevel="1" x14ac:dyDescent="0.4">
      <c r="A8" s="1">
        <v>11</v>
      </c>
      <c r="C8" s="5" t="s">
        <v>7</v>
      </c>
      <c r="D8" s="5" t="s">
        <v>11</v>
      </c>
      <c r="E8" s="5" t="s">
        <v>6</v>
      </c>
      <c r="F8" s="5" t="s">
        <v>12</v>
      </c>
      <c r="G8" s="5" t="s">
        <v>10</v>
      </c>
      <c r="H8" s="6">
        <v>1848</v>
      </c>
      <c r="I8" s="6">
        <v>3836.58</v>
      </c>
    </row>
    <row r="9" spans="1:9" outlineLevel="1" x14ac:dyDescent="0.4">
      <c r="A9" s="1">
        <v>11</v>
      </c>
      <c r="C9" s="5" t="s">
        <v>7</v>
      </c>
      <c r="D9" s="5" t="s">
        <v>13</v>
      </c>
      <c r="E9" s="5" t="s">
        <v>6</v>
      </c>
      <c r="F9" s="5" t="s">
        <v>14</v>
      </c>
      <c r="G9" s="5" t="s">
        <v>10</v>
      </c>
      <c r="H9" s="6">
        <v>1848</v>
      </c>
      <c r="I9" s="6">
        <v>3836.58</v>
      </c>
    </row>
    <row r="10" spans="1:9" outlineLevel="1" x14ac:dyDescent="0.4">
      <c r="A10" s="1">
        <v>11</v>
      </c>
      <c r="C10" s="5" t="s">
        <v>7</v>
      </c>
      <c r="D10" s="5" t="s">
        <v>15</v>
      </c>
      <c r="E10" s="5" t="s">
        <v>6</v>
      </c>
      <c r="F10" s="5" t="s">
        <v>16</v>
      </c>
      <c r="G10" s="5" t="s">
        <v>10</v>
      </c>
      <c r="H10" s="6">
        <v>1848</v>
      </c>
      <c r="I10" s="6">
        <v>3836.58</v>
      </c>
    </row>
    <row r="11" spans="1:9" outlineLevel="1" x14ac:dyDescent="0.4">
      <c r="A11" s="1">
        <v>11</v>
      </c>
      <c r="C11" s="5" t="s">
        <v>7</v>
      </c>
      <c r="D11" s="5" t="s">
        <v>17</v>
      </c>
      <c r="E11" s="5" t="s">
        <v>6</v>
      </c>
      <c r="F11" s="5" t="s">
        <v>18</v>
      </c>
      <c r="G11" s="5" t="s">
        <v>10</v>
      </c>
      <c r="H11" s="6">
        <v>1848</v>
      </c>
      <c r="I11" s="6">
        <v>3836.58</v>
      </c>
    </row>
    <row r="12" spans="1:9" outlineLevel="1" x14ac:dyDescent="0.4">
      <c r="A12" s="1">
        <v>11</v>
      </c>
      <c r="C12" s="5" t="s">
        <v>7</v>
      </c>
      <c r="D12" s="5" t="s">
        <v>19</v>
      </c>
      <c r="E12" s="5" t="s">
        <v>6</v>
      </c>
      <c r="F12" s="5" t="s">
        <v>20</v>
      </c>
      <c r="G12" s="5" t="s">
        <v>10</v>
      </c>
      <c r="H12" s="6">
        <v>1848</v>
      </c>
      <c r="I12" s="6">
        <v>3836.58</v>
      </c>
    </row>
    <row r="13" spans="1:9" outlineLevel="1" x14ac:dyDescent="0.4">
      <c r="A13" s="1">
        <v>11</v>
      </c>
      <c r="C13" s="5" t="s">
        <v>7</v>
      </c>
      <c r="D13" s="5" t="s">
        <v>21</v>
      </c>
      <c r="E13" s="5" t="s">
        <v>6</v>
      </c>
      <c r="F13" s="5" t="s">
        <v>22</v>
      </c>
      <c r="G13" s="5" t="s">
        <v>10</v>
      </c>
      <c r="H13" s="6">
        <v>1848</v>
      </c>
      <c r="I13" s="6">
        <v>3836.58</v>
      </c>
    </row>
    <row r="14" spans="1:9" outlineLevel="1" x14ac:dyDescent="0.4">
      <c r="A14" s="1">
        <v>11</v>
      </c>
      <c r="C14" s="5" t="s">
        <v>7</v>
      </c>
      <c r="D14" s="5" t="s">
        <v>23</v>
      </c>
      <c r="E14" s="5" t="s">
        <v>6</v>
      </c>
      <c r="F14" s="5" t="s">
        <v>24</v>
      </c>
      <c r="G14" s="5" t="s">
        <v>10</v>
      </c>
      <c r="H14" s="6">
        <v>1848</v>
      </c>
      <c r="I14" s="6">
        <v>3836.58</v>
      </c>
    </row>
    <row r="15" spans="1:9" outlineLevel="1" x14ac:dyDescent="0.4">
      <c r="A15" s="1">
        <v>11</v>
      </c>
      <c r="C15" s="5" t="s">
        <v>7</v>
      </c>
      <c r="D15" s="5" t="s">
        <v>25</v>
      </c>
      <c r="E15" s="5" t="s">
        <v>6</v>
      </c>
      <c r="F15" s="5" t="s">
        <v>26</v>
      </c>
      <c r="G15" s="5" t="s">
        <v>10</v>
      </c>
      <c r="H15" s="6">
        <v>1848</v>
      </c>
      <c r="I15" s="6">
        <v>3836.58</v>
      </c>
    </row>
    <row r="16" spans="1:9" outlineLevel="1" x14ac:dyDescent="0.4">
      <c r="A16" s="1">
        <v>11</v>
      </c>
      <c r="C16" s="5" t="s">
        <v>7</v>
      </c>
      <c r="D16" s="5" t="s">
        <v>27</v>
      </c>
      <c r="E16" s="5" t="s">
        <v>6</v>
      </c>
      <c r="F16" s="5" t="s">
        <v>28</v>
      </c>
      <c r="G16" s="5" t="s">
        <v>10</v>
      </c>
      <c r="H16" s="6">
        <v>1848</v>
      </c>
      <c r="I16" s="6">
        <v>3836.58</v>
      </c>
    </row>
    <row r="17" spans="1:9" outlineLevel="1" x14ac:dyDescent="0.4">
      <c r="A17" s="1">
        <v>11</v>
      </c>
      <c r="C17" s="5" t="s">
        <v>7</v>
      </c>
      <c r="D17" s="5" t="s">
        <v>29</v>
      </c>
      <c r="E17" s="5" t="s">
        <v>6</v>
      </c>
      <c r="F17" s="5" t="s">
        <v>30</v>
      </c>
      <c r="G17" s="5" t="s">
        <v>10</v>
      </c>
      <c r="H17" s="6">
        <v>1848</v>
      </c>
      <c r="I17" s="6">
        <v>3836.58</v>
      </c>
    </row>
    <row r="18" spans="1:9" outlineLevel="1" x14ac:dyDescent="0.4">
      <c r="A18" s="1">
        <v>11</v>
      </c>
      <c r="C18" s="5" t="s">
        <v>7</v>
      </c>
      <c r="D18" s="5" t="s">
        <v>31</v>
      </c>
      <c r="E18" s="5" t="s">
        <v>6</v>
      </c>
      <c r="F18" s="5" t="s">
        <v>32</v>
      </c>
      <c r="G18" s="5" t="s">
        <v>10</v>
      </c>
      <c r="H18" s="6">
        <v>1848</v>
      </c>
      <c r="I18" s="6">
        <v>3836.58</v>
      </c>
    </row>
    <row r="19" spans="1:9" outlineLevel="1" x14ac:dyDescent="0.4">
      <c r="A19" s="1">
        <v>10</v>
      </c>
      <c r="C19" s="5" t="s">
        <v>7</v>
      </c>
      <c r="D19" s="5" t="s">
        <v>33</v>
      </c>
      <c r="E19" s="5" t="s">
        <v>6</v>
      </c>
      <c r="F19" s="5" t="s">
        <v>34</v>
      </c>
      <c r="G19" s="5" t="s">
        <v>10</v>
      </c>
      <c r="H19" s="6">
        <v>1848</v>
      </c>
      <c r="I19" s="6">
        <v>3836.58</v>
      </c>
    </row>
    <row r="20" spans="1:9" outlineLevel="1" x14ac:dyDescent="0.4">
      <c r="A20" s="1">
        <v>10</v>
      </c>
      <c r="C20" s="5" t="s">
        <v>7</v>
      </c>
      <c r="D20" s="5" t="s">
        <v>35</v>
      </c>
      <c r="E20" s="5" t="s">
        <v>6</v>
      </c>
      <c r="F20" s="5" t="s">
        <v>36</v>
      </c>
      <c r="G20" s="5" t="s">
        <v>10</v>
      </c>
      <c r="H20" s="6">
        <v>1848</v>
      </c>
      <c r="I20" s="6">
        <v>3836.58</v>
      </c>
    </row>
    <row r="21" spans="1:9" outlineLevel="1" x14ac:dyDescent="0.4">
      <c r="A21" s="1">
        <v>10</v>
      </c>
      <c r="C21" s="5" t="s">
        <v>37</v>
      </c>
      <c r="D21" s="5" t="s">
        <v>38</v>
      </c>
      <c r="E21" s="5" t="s">
        <v>6</v>
      </c>
      <c r="F21" s="5" t="s">
        <v>39</v>
      </c>
      <c r="G21" s="5" t="s">
        <v>10</v>
      </c>
      <c r="H21" s="6">
        <v>1848</v>
      </c>
      <c r="I21" s="6">
        <v>3836.58</v>
      </c>
    </row>
    <row r="22" spans="1:9" outlineLevel="1" x14ac:dyDescent="0.4">
      <c r="A22" s="1">
        <v>10</v>
      </c>
      <c r="C22" s="5" t="s">
        <v>37</v>
      </c>
      <c r="D22" s="5" t="s">
        <v>40</v>
      </c>
      <c r="E22" s="5" t="s">
        <v>6</v>
      </c>
      <c r="F22" s="5" t="s">
        <v>41</v>
      </c>
      <c r="G22" s="5" t="s">
        <v>10</v>
      </c>
      <c r="H22" s="6">
        <v>1848</v>
      </c>
      <c r="I22" s="6">
        <v>3836.58</v>
      </c>
    </row>
    <row r="23" spans="1:9" outlineLevel="1" x14ac:dyDescent="0.4">
      <c r="A23" s="1">
        <v>10</v>
      </c>
      <c r="C23" s="5" t="s">
        <v>37</v>
      </c>
      <c r="D23" s="5" t="s">
        <v>42</v>
      </c>
      <c r="E23" s="5" t="s">
        <v>6</v>
      </c>
      <c r="F23" s="5" t="s">
        <v>43</v>
      </c>
      <c r="G23" s="5" t="s">
        <v>10</v>
      </c>
      <c r="H23" s="6">
        <v>1848</v>
      </c>
      <c r="I23" s="6">
        <v>3836.58</v>
      </c>
    </row>
    <row r="24" spans="1:9" outlineLevel="1" x14ac:dyDescent="0.4">
      <c r="A24" s="1">
        <v>10</v>
      </c>
      <c r="C24" s="5" t="s">
        <v>37</v>
      </c>
      <c r="D24" s="5" t="s">
        <v>44</v>
      </c>
      <c r="E24" s="5" t="s">
        <v>6</v>
      </c>
      <c r="F24" s="5" t="s">
        <v>45</v>
      </c>
      <c r="G24" s="5" t="s">
        <v>10</v>
      </c>
      <c r="H24" s="6">
        <v>1848</v>
      </c>
      <c r="I24" s="6">
        <v>3836.58</v>
      </c>
    </row>
    <row r="25" spans="1:9" outlineLevel="1" x14ac:dyDescent="0.4">
      <c r="A25" s="1">
        <v>10</v>
      </c>
      <c r="C25" s="5" t="s">
        <v>37</v>
      </c>
      <c r="D25" s="5" t="s">
        <v>46</v>
      </c>
      <c r="E25" s="5" t="s">
        <v>6</v>
      </c>
      <c r="F25" s="5" t="s">
        <v>47</v>
      </c>
      <c r="G25" s="5" t="s">
        <v>10</v>
      </c>
      <c r="H25" s="6">
        <v>1848</v>
      </c>
      <c r="I25" s="6">
        <v>3836.58</v>
      </c>
    </row>
    <row r="26" spans="1:9" outlineLevel="1" x14ac:dyDescent="0.4">
      <c r="A26" s="1">
        <v>10</v>
      </c>
      <c r="C26" s="5" t="s">
        <v>37</v>
      </c>
      <c r="D26" s="5" t="s">
        <v>48</v>
      </c>
      <c r="E26" s="5" t="s">
        <v>6</v>
      </c>
      <c r="F26" s="5" t="s">
        <v>49</v>
      </c>
      <c r="G26" s="5" t="s">
        <v>10</v>
      </c>
      <c r="H26" s="6">
        <v>1848</v>
      </c>
      <c r="I26" s="6">
        <v>3836.58</v>
      </c>
    </row>
    <row r="27" spans="1:9" outlineLevel="1" x14ac:dyDescent="0.4">
      <c r="A27" s="1">
        <v>10</v>
      </c>
      <c r="C27" s="5" t="s">
        <v>37</v>
      </c>
      <c r="D27" s="5" t="s">
        <v>50</v>
      </c>
      <c r="E27" s="5" t="s">
        <v>6</v>
      </c>
      <c r="F27" s="5" t="s">
        <v>51</v>
      </c>
      <c r="G27" s="5" t="s">
        <v>10</v>
      </c>
      <c r="H27" s="6">
        <v>1848</v>
      </c>
      <c r="I27" s="6">
        <v>3836.58</v>
      </c>
    </row>
    <row r="28" spans="1:9" outlineLevel="1" x14ac:dyDescent="0.4">
      <c r="A28" s="1">
        <v>11</v>
      </c>
      <c r="C28" s="5" t="s">
        <v>37</v>
      </c>
      <c r="D28" s="5" t="s">
        <v>52</v>
      </c>
      <c r="E28" s="5" t="s">
        <v>6</v>
      </c>
      <c r="F28" s="5" t="s">
        <v>53</v>
      </c>
      <c r="G28" s="5" t="s">
        <v>10</v>
      </c>
      <c r="H28" s="6">
        <v>1848</v>
      </c>
      <c r="I28" s="6">
        <v>3836.58</v>
      </c>
    </row>
    <row r="29" spans="1:9" outlineLevel="1" x14ac:dyDescent="0.4">
      <c r="A29" s="1">
        <v>11</v>
      </c>
      <c r="C29" s="5" t="s">
        <v>37</v>
      </c>
      <c r="D29" s="5" t="s">
        <v>54</v>
      </c>
      <c r="E29" s="5" t="s">
        <v>6</v>
      </c>
      <c r="F29" s="5" t="s">
        <v>55</v>
      </c>
      <c r="G29" s="5" t="s">
        <v>10</v>
      </c>
      <c r="H29" s="6">
        <v>1848</v>
      </c>
      <c r="I29" s="6">
        <v>3836.58</v>
      </c>
    </row>
    <row r="30" spans="1:9" outlineLevel="1" x14ac:dyDescent="0.4">
      <c r="A30" s="1">
        <v>11</v>
      </c>
      <c r="C30" s="5" t="s">
        <v>37</v>
      </c>
      <c r="D30" s="5" t="s">
        <v>56</v>
      </c>
      <c r="E30" s="5" t="s">
        <v>6</v>
      </c>
      <c r="F30" s="5" t="s">
        <v>57</v>
      </c>
      <c r="G30" s="5" t="s">
        <v>10</v>
      </c>
      <c r="H30" s="6">
        <v>1848</v>
      </c>
      <c r="I30" s="6">
        <v>3836.58</v>
      </c>
    </row>
    <row r="31" spans="1:9" outlineLevel="1" x14ac:dyDescent="0.4">
      <c r="A31" s="1">
        <v>11</v>
      </c>
      <c r="C31" s="5" t="s">
        <v>58</v>
      </c>
      <c r="D31" s="5" t="s">
        <v>59</v>
      </c>
      <c r="E31" s="5" t="s">
        <v>6</v>
      </c>
      <c r="F31" s="5" t="s">
        <v>60</v>
      </c>
      <c r="G31" s="5" t="s">
        <v>10</v>
      </c>
      <c r="H31" s="6">
        <v>1848</v>
      </c>
      <c r="I31" s="6">
        <v>3836.58</v>
      </c>
    </row>
    <row r="32" spans="1:9" outlineLevel="1" x14ac:dyDescent="0.4">
      <c r="A32" s="1">
        <v>11</v>
      </c>
      <c r="C32" s="5" t="s">
        <v>58</v>
      </c>
      <c r="D32" s="5" t="s">
        <v>61</v>
      </c>
      <c r="E32" s="5" t="s">
        <v>6</v>
      </c>
      <c r="F32" s="5" t="s">
        <v>62</v>
      </c>
      <c r="G32" s="5" t="s">
        <v>10</v>
      </c>
      <c r="H32" s="6">
        <v>1848</v>
      </c>
      <c r="I32" s="6">
        <v>3836.58</v>
      </c>
    </row>
    <row r="33" spans="1:9" outlineLevel="1" x14ac:dyDescent="0.4">
      <c r="A33" s="1">
        <v>11</v>
      </c>
      <c r="C33" s="5" t="s">
        <v>58</v>
      </c>
      <c r="D33" s="5" t="s">
        <v>63</v>
      </c>
      <c r="E33" s="5" t="s">
        <v>6</v>
      </c>
      <c r="F33" s="5" t="s">
        <v>64</v>
      </c>
      <c r="G33" s="5" t="s">
        <v>10</v>
      </c>
      <c r="H33" s="6">
        <v>1848</v>
      </c>
      <c r="I33" s="6">
        <v>3836.58</v>
      </c>
    </row>
    <row r="34" spans="1:9" outlineLevel="1" x14ac:dyDescent="0.4">
      <c r="A34" s="1">
        <v>11</v>
      </c>
      <c r="C34" s="5" t="s">
        <v>58</v>
      </c>
      <c r="D34" s="5" t="s">
        <v>65</v>
      </c>
      <c r="E34" s="5" t="s">
        <v>6</v>
      </c>
      <c r="F34" s="5" t="s">
        <v>66</v>
      </c>
      <c r="G34" s="5" t="s">
        <v>10</v>
      </c>
      <c r="H34" s="6">
        <v>1848</v>
      </c>
      <c r="I34" s="6">
        <v>3836.58</v>
      </c>
    </row>
    <row r="35" spans="1:9" outlineLevel="1" x14ac:dyDescent="0.4">
      <c r="A35" s="1">
        <v>11</v>
      </c>
      <c r="C35" s="5" t="s">
        <v>58</v>
      </c>
      <c r="D35" s="5" t="s">
        <v>67</v>
      </c>
      <c r="E35" s="5" t="s">
        <v>6</v>
      </c>
      <c r="F35" s="5" t="s">
        <v>68</v>
      </c>
      <c r="G35" s="5" t="s">
        <v>10</v>
      </c>
      <c r="H35" s="6">
        <v>1848</v>
      </c>
      <c r="I35" s="6">
        <v>3836.58</v>
      </c>
    </row>
    <row r="36" spans="1:9" x14ac:dyDescent="0.4">
      <c r="H36" s="8">
        <v>53592</v>
      </c>
      <c r="I36" s="9">
        <f>I7+I8+I9+I10+I11+I12+I13+I14+I15+I16+I17+I18+I19+I20+I21+I22+I23+I24+I25+I26+I27+I28+I29+I30+I31+I32+I33+I34+I35</f>
        <v>111260.82000000004</v>
      </c>
    </row>
    <row r="37" spans="1:9" x14ac:dyDescent="0.4">
      <c r="A37" s="4"/>
      <c r="B37" s="4"/>
    </row>
    <row r="38" spans="1:9" outlineLevel="1" x14ac:dyDescent="0.4">
      <c r="A38" s="1">
        <v>11</v>
      </c>
      <c r="C38" s="5" t="s">
        <v>69</v>
      </c>
      <c r="D38" s="5" t="s">
        <v>70</v>
      </c>
      <c r="E38" s="5" t="s">
        <v>71</v>
      </c>
      <c r="F38" s="5" t="s">
        <v>72</v>
      </c>
      <c r="G38" s="5" t="s">
        <v>10</v>
      </c>
      <c r="H38" s="6">
        <v>1848</v>
      </c>
      <c r="I38" s="6">
        <v>3836.58</v>
      </c>
    </row>
    <row r="39" spans="1:9" outlineLevel="1" x14ac:dyDescent="0.4">
      <c r="A39" s="1">
        <v>11</v>
      </c>
      <c r="C39" s="5" t="s">
        <v>69</v>
      </c>
      <c r="D39" s="5" t="s">
        <v>73</v>
      </c>
      <c r="E39" s="5" t="s">
        <v>71</v>
      </c>
      <c r="F39" s="5" t="s">
        <v>74</v>
      </c>
      <c r="G39" s="5" t="s">
        <v>10</v>
      </c>
      <c r="H39" s="6">
        <v>1848</v>
      </c>
      <c r="I39" s="6">
        <v>3836.58</v>
      </c>
    </row>
    <row r="40" spans="1:9" outlineLevel="1" x14ac:dyDescent="0.4">
      <c r="A40" s="1">
        <v>11</v>
      </c>
      <c r="C40" s="5" t="s">
        <v>37</v>
      </c>
      <c r="D40" s="5" t="s">
        <v>75</v>
      </c>
      <c r="E40" s="5" t="s">
        <v>71</v>
      </c>
      <c r="F40" s="5" t="s">
        <v>76</v>
      </c>
      <c r="G40" s="5" t="s">
        <v>10</v>
      </c>
      <c r="H40" s="6">
        <v>1848</v>
      </c>
      <c r="I40" s="6">
        <v>3836.58</v>
      </c>
    </row>
    <row r="41" spans="1:9" outlineLevel="1" x14ac:dyDescent="0.4">
      <c r="A41" s="1">
        <v>11</v>
      </c>
      <c r="C41" s="5" t="s">
        <v>37</v>
      </c>
      <c r="D41" s="5" t="s">
        <v>77</v>
      </c>
      <c r="E41" s="5" t="s">
        <v>71</v>
      </c>
      <c r="F41" s="5" t="s">
        <v>78</v>
      </c>
      <c r="G41" s="5" t="s">
        <v>10</v>
      </c>
      <c r="H41" s="6">
        <v>1848</v>
      </c>
      <c r="I41" s="6">
        <v>3836.58</v>
      </c>
    </row>
    <row r="42" spans="1:9" outlineLevel="1" x14ac:dyDescent="0.4">
      <c r="A42" s="1">
        <v>11</v>
      </c>
      <c r="C42" s="5" t="s">
        <v>37</v>
      </c>
      <c r="D42" s="5" t="s">
        <v>79</v>
      </c>
      <c r="E42" s="5" t="s">
        <v>71</v>
      </c>
      <c r="F42" s="5" t="s">
        <v>80</v>
      </c>
      <c r="G42" s="5" t="s">
        <v>10</v>
      </c>
      <c r="H42" s="6">
        <v>1848</v>
      </c>
      <c r="I42" s="6">
        <v>3836.58</v>
      </c>
    </row>
    <row r="43" spans="1:9" outlineLevel="1" x14ac:dyDescent="0.4">
      <c r="A43" s="1">
        <v>11</v>
      </c>
      <c r="C43" s="5" t="s">
        <v>81</v>
      </c>
      <c r="D43" s="5" t="s">
        <v>82</v>
      </c>
      <c r="E43" s="5" t="s">
        <v>71</v>
      </c>
      <c r="F43" s="5" t="s">
        <v>83</v>
      </c>
      <c r="G43" s="5" t="s">
        <v>10</v>
      </c>
      <c r="H43" s="6">
        <v>1848</v>
      </c>
      <c r="I43" s="6">
        <v>3836.58</v>
      </c>
    </row>
    <row r="44" spans="1:9" outlineLevel="1" x14ac:dyDescent="0.4">
      <c r="A44" s="1">
        <v>11</v>
      </c>
      <c r="C44" s="5" t="s">
        <v>81</v>
      </c>
      <c r="D44" s="5" t="s">
        <v>84</v>
      </c>
      <c r="E44" s="5" t="s">
        <v>71</v>
      </c>
      <c r="F44" s="5" t="s">
        <v>85</v>
      </c>
      <c r="G44" s="5" t="s">
        <v>10</v>
      </c>
      <c r="H44" s="6">
        <v>1848</v>
      </c>
      <c r="I44" s="6">
        <v>3836.58</v>
      </c>
    </row>
    <row r="45" spans="1:9" outlineLevel="1" x14ac:dyDescent="0.4">
      <c r="A45" s="1">
        <v>11</v>
      </c>
      <c r="C45" s="5" t="s">
        <v>81</v>
      </c>
      <c r="D45" s="5" t="s">
        <v>86</v>
      </c>
      <c r="E45" s="5" t="s">
        <v>71</v>
      </c>
      <c r="F45" s="5" t="s">
        <v>87</v>
      </c>
      <c r="G45" s="5" t="s">
        <v>10</v>
      </c>
      <c r="H45" s="6">
        <v>1848</v>
      </c>
      <c r="I45" s="6">
        <v>3836.58</v>
      </c>
    </row>
    <row r="46" spans="1:9" outlineLevel="1" x14ac:dyDescent="0.4">
      <c r="A46" s="1">
        <v>11</v>
      </c>
      <c r="C46" s="5" t="s">
        <v>81</v>
      </c>
      <c r="D46" s="5" t="s">
        <v>88</v>
      </c>
      <c r="E46" s="5" t="s">
        <v>71</v>
      </c>
      <c r="F46" s="5" t="s">
        <v>89</v>
      </c>
      <c r="G46" s="5" t="s">
        <v>10</v>
      </c>
      <c r="H46" s="6">
        <v>1848</v>
      </c>
      <c r="I46" s="6">
        <v>3836.58</v>
      </c>
    </row>
    <row r="47" spans="1:9" outlineLevel="1" x14ac:dyDescent="0.4">
      <c r="A47" s="1">
        <v>11</v>
      </c>
      <c r="C47" s="5" t="s">
        <v>58</v>
      </c>
      <c r="D47" s="5" t="s">
        <v>90</v>
      </c>
      <c r="E47" s="5" t="s">
        <v>71</v>
      </c>
      <c r="F47" s="5" t="s">
        <v>91</v>
      </c>
      <c r="G47" s="5" t="s">
        <v>10</v>
      </c>
      <c r="H47" s="6">
        <v>1848</v>
      </c>
      <c r="I47" s="6">
        <v>3836.58</v>
      </c>
    </row>
    <row r="48" spans="1:9" outlineLevel="1" x14ac:dyDescent="0.4">
      <c r="A48" s="1">
        <v>11</v>
      </c>
      <c r="C48" s="5" t="s">
        <v>58</v>
      </c>
      <c r="D48" s="5" t="s">
        <v>92</v>
      </c>
      <c r="E48" s="5" t="s">
        <v>71</v>
      </c>
      <c r="F48" s="5" t="s">
        <v>93</v>
      </c>
      <c r="G48" s="5" t="s">
        <v>10</v>
      </c>
      <c r="H48" s="6">
        <v>1848</v>
      </c>
      <c r="I48" s="6">
        <v>3836.58</v>
      </c>
    </row>
    <row r="49" spans="1:9" outlineLevel="1" x14ac:dyDescent="0.4">
      <c r="A49" s="1">
        <v>11</v>
      </c>
      <c r="C49" s="5" t="s">
        <v>58</v>
      </c>
      <c r="D49" s="5" t="s">
        <v>94</v>
      </c>
      <c r="E49" s="5" t="s">
        <v>71</v>
      </c>
      <c r="F49" s="5" t="s">
        <v>95</v>
      </c>
      <c r="G49" s="5" t="s">
        <v>10</v>
      </c>
      <c r="H49" s="6">
        <v>1848</v>
      </c>
      <c r="I49" s="6">
        <v>3836.58</v>
      </c>
    </row>
    <row r="50" spans="1:9" outlineLevel="1" x14ac:dyDescent="0.4">
      <c r="A50" s="1">
        <v>11</v>
      </c>
      <c r="C50" s="5" t="s">
        <v>58</v>
      </c>
      <c r="D50" s="5" t="s">
        <v>96</v>
      </c>
      <c r="E50" s="5" t="s">
        <v>71</v>
      </c>
      <c r="F50" s="5" t="s">
        <v>97</v>
      </c>
      <c r="G50" s="5" t="s">
        <v>10</v>
      </c>
      <c r="H50" s="6">
        <v>1848</v>
      </c>
      <c r="I50" s="6">
        <v>3836.58</v>
      </c>
    </row>
    <row r="51" spans="1:9" outlineLevel="1" x14ac:dyDescent="0.4">
      <c r="A51" s="1">
        <v>11</v>
      </c>
      <c r="C51" s="5" t="s">
        <v>58</v>
      </c>
      <c r="D51" s="5" t="s">
        <v>98</v>
      </c>
      <c r="E51" s="5" t="s">
        <v>71</v>
      </c>
      <c r="F51" s="5" t="s">
        <v>99</v>
      </c>
      <c r="G51" s="5" t="s">
        <v>10</v>
      </c>
      <c r="H51" s="6">
        <v>1848</v>
      </c>
      <c r="I51" s="6">
        <v>3836.58</v>
      </c>
    </row>
    <row r="52" spans="1:9" outlineLevel="1" x14ac:dyDescent="0.4">
      <c r="A52" s="1">
        <v>11</v>
      </c>
      <c r="C52" s="5" t="s">
        <v>58</v>
      </c>
      <c r="D52" s="5" t="s">
        <v>100</v>
      </c>
      <c r="E52" s="5" t="s">
        <v>71</v>
      </c>
      <c r="F52" s="5" t="s">
        <v>101</v>
      </c>
      <c r="G52" s="5" t="s">
        <v>10</v>
      </c>
      <c r="H52" s="6">
        <v>1848</v>
      </c>
      <c r="I52" s="6">
        <v>3836.58</v>
      </c>
    </row>
    <row r="53" spans="1:9" x14ac:dyDescent="0.4">
      <c r="A53" s="7"/>
      <c r="B53" s="7"/>
      <c r="H53" s="8">
        <v>27720</v>
      </c>
      <c r="I53" s="9">
        <f>I38+I39+I40+I41+I42+I43+I44+I45+I46+I47+I48+I49+I50+I51+I52</f>
        <v>57548.700000000019</v>
      </c>
    </row>
    <row r="54" spans="1:9" x14ac:dyDescent="0.4">
      <c r="A54" s="4"/>
      <c r="B54" s="4"/>
    </row>
    <row r="55" spans="1:9" outlineLevel="1" x14ac:dyDescent="0.4">
      <c r="A55" s="1">
        <v>11</v>
      </c>
      <c r="C55" s="5" t="s">
        <v>102</v>
      </c>
      <c r="D55" s="5" t="s">
        <v>103</v>
      </c>
      <c r="E55" s="5" t="s">
        <v>104</v>
      </c>
      <c r="F55" s="5" t="s">
        <v>105</v>
      </c>
      <c r="G55" s="5" t="s">
        <v>10</v>
      </c>
      <c r="H55" s="6">
        <v>1056</v>
      </c>
      <c r="I55" s="6">
        <v>3505.7</v>
      </c>
    </row>
    <row r="56" spans="1:9" outlineLevel="1" x14ac:dyDescent="0.4">
      <c r="A56" s="1">
        <v>11</v>
      </c>
      <c r="C56" s="5" t="s">
        <v>102</v>
      </c>
      <c r="D56" s="5" t="s">
        <v>106</v>
      </c>
      <c r="E56" s="5" t="s">
        <v>104</v>
      </c>
      <c r="F56" s="5" t="s">
        <v>107</v>
      </c>
      <c r="G56" s="5" t="s">
        <v>10</v>
      </c>
      <c r="H56" s="6">
        <v>1056</v>
      </c>
      <c r="I56" s="6">
        <v>3505.7</v>
      </c>
    </row>
    <row r="57" spans="1:9" outlineLevel="1" x14ac:dyDescent="0.4">
      <c r="A57" s="1">
        <v>11</v>
      </c>
      <c r="C57" s="5" t="s">
        <v>102</v>
      </c>
      <c r="D57" s="5" t="s">
        <v>108</v>
      </c>
      <c r="E57" s="5" t="s">
        <v>104</v>
      </c>
      <c r="F57" s="5" t="s">
        <v>109</v>
      </c>
      <c r="G57" s="5" t="s">
        <v>10</v>
      </c>
      <c r="H57" s="6">
        <v>1056</v>
      </c>
      <c r="I57" s="6">
        <v>3505.7</v>
      </c>
    </row>
    <row r="58" spans="1:9" outlineLevel="1" x14ac:dyDescent="0.4">
      <c r="A58" s="1">
        <v>11</v>
      </c>
      <c r="C58" s="5" t="s">
        <v>102</v>
      </c>
      <c r="D58" s="5" t="s">
        <v>110</v>
      </c>
      <c r="E58" s="5" t="s">
        <v>104</v>
      </c>
      <c r="F58" s="5" t="s">
        <v>111</v>
      </c>
      <c r="G58" s="5" t="s">
        <v>10</v>
      </c>
      <c r="H58" s="6">
        <v>1056</v>
      </c>
      <c r="I58" s="6">
        <v>3505.7</v>
      </c>
    </row>
    <row r="59" spans="1:9" outlineLevel="1" x14ac:dyDescent="0.4">
      <c r="A59" s="1">
        <v>11</v>
      </c>
      <c r="C59" s="5" t="s">
        <v>102</v>
      </c>
      <c r="D59" s="5" t="s">
        <v>112</v>
      </c>
      <c r="E59" s="5" t="s">
        <v>104</v>
      </c>
      <c r="F59" s="5" t="s">
        <v>113</v>
      </c>
      <c r="G59" s="5" t="s">
        <v>10</v>
      </c>
      <c r="H59" s="6">
        <v>1056</v>
      </c>
      <c r="I59" s="6">
        <v>3505.7</v>
      </c>
    </row>
    <row r="60" spans="1:9" outlineLevel="1" x14ac:dyDescent="0.4">
      <c r="A60" s="1">
        <v>11</v>
      </c>
      <c r="C60" s="5" t="s">
        <v>102</v>
      </c>
      <c r="D60" s="5" t="s">
        <v>114</v>
      </c>
      <c r="E60" s="5" t="s">
        <v>104</v>
      </c>
      <c r="F60" s="5" t="s">
        <v>115</v>
      </c>
      <c r="G60" s="5" t="s">
        <v>10</v>
      </c>
      <c r="H60" s="6">
        <v>1056</v>
      </c>
      <c r="I60" s="6">
        <v>3505.7</v>
      </c>
    </row>
    <row r="61" spans="1:9" outlineLevel="1" x14ac:dyDescent="0.4">
      <c r="A61" s="1">
        <v>11</v>
      </c>
      <c r="C61" s="5" t="s">
        <v>102</v>
      </c>
      <c r="D61" s="5" t="s">
        <v>116</v>
      </c>
      <c r="E61" s="5" t="s">
        <v>104</v>
      </c>
      <c r="F61" s="5" t="s">
        <v>117</v>
      </c>
      <c r="G61" s="5" t="s">
        <v>10</v>
      </c>
      <c r="H61" s="6">
        <v>1056</v>
      </c>
      <c r="I61" s="6">
        <v>3505.7</v>
      </c>
    </row>
    <row r="62" spans="1:9" outlineLevel="1" x14ac:dyDescent="0.4">
      <c r="A62" s="1">
        <v>11</v>
      </c>
      <c r="C62" s="5" t="s">
        <v>69</v>
      </c>
      <c r="D62" s="5" t="s">
        <v>118</v>
      </c>
      <c r="E62" s="5" t="s">
        <v>104</v>
      </c>
      <c r="F62" s="5" t="s">
        <v>119</v>
      </c>
      <c r="G62" s="5" t="s">
        <v>10</v>
      </c>
      <c r="H62" s="6">
        <v>1056</v>
      </c>
      <c r="I62" s="6">
        <v>3505.7</v>
      </c>
    </row>
    <row r="63" spans="1:9" outlineLevel="1" x14ac:dyDescent="0.4">
      <c r="A63" s="1">
        <v>11</v>
      </c>
      <c r="C63" s="5" t="s">
        <v>69</v>
      </c>
      <c r="D63" s="5" t="s">
        <v>120</v>
      </c>
      <c r="E63" s="5" t="s">
        <v>121</v>
      </c>
      <c r="F63" s="5" t="s">
        <v>122</v>
      </c>
      <c r="G63" s="5" t="s">
        <v>10</v>
      </c>
      <c r="H63" s="6">
        <v>1848</v>
      </c>
      <c r="I63" s="6">
        <v>3836.58</v>
      </c>
    </row>
    <row r="64" spans="1:9" outlineLevel="1" x14ac:dyDescent="0.4">
      <c r="A64" s="1">
        <v>11</v>
      </c>
      <c r="C64" s="5" t="s">
        <v>69</v>
      </c>
      <c r="D64" s="5" t="s">
        <v>123</v>
      </c>
      <c r="E64" s="5" t="s">
        <v>104</v>
      </c>
      <c r="F64" s="5" t="s">
        <v>124</v>
      </c>
      <c r="G64" s="5" t="s">
        <v>10</v>
      </c>
      <c r="H64" s="6">
        <v>1056</v>
      </c>
      <c r="I64" s="6">
        <v>3505.7</v>
      </c>
    </row>
    <row r="65" spans="1:9" outlineLevel="1" x14ac:dyDescent="0.4">
      <c r="A65" s="1">
        <v>11</v>
      </c>
      <c r="C65" s="5" t="s">
        <v>69</v>
      </c>
      <c r="D65" s="5" t="s">
        <v>125</v>
      </c>
      <c r="E65" s="5" t="s">
        <v>121</v>
      </c>
      <c r="F65" s="5" t="s">
        <v>126</v>
      </c>
      <c r="G65" s="5" t="s">
        <v>10</v>
      </c>
      <c r="H65" s="6">
        <v>1848</v>
      </c>
      <c r="I65" s="6">
        <v>3836.58</v>
      </c>
    </row>
    <row r="66" spans="1:9" outlineLevel="1" x14ac:dyDescent="0.4">
      <c r="A66" s="1">
        <v>11</v>
      </c>
      <c r="C66" s="5" t="s">
        <v>69</v>
      </c>
      <c r="D66" s="5" t="s">
        <v>127</v>
      </c>
      <c r="E66" s="5" t="s">
        <v>104</v>
      </c>
      <c r="F66" s="5" t="s">
        <v>128</v>
      </c>
      <c r="G66" s="5" t="s">
        <v>10</v>
      </c>
      <c r="H66" s="6">
        <v>1056</v>
      </c>
      <c r="I66" s="6">
        <v>3505.7</v>
      </c>
    </row>
    <row r="67" spans="1:9" x14ac:dyDescent="0.4">
      <c r="A67" s="7"/>
      <c r="B67" s="7"/>
      <c r="H67" s="10">
        <v>14256</v>
      </c>
      <c r="I67" s="11">
        <f>I55+I56+I57+I58+I59+I60+I61+I62+I63+I64+I65+I66</f>
        <v>42730.159999999996</v>
      </c>
    </row>
    <row r="68" spans="1:9" x14ac:dyDescent="0.4">
      <c r="A68" s="4"/>
      <c r="B68" s="4"/>
    </row>
    <row r="69" spans="1:9" outlineLevel="1" x14ac:dyDescent="0.4">
      <c r="A69" s="1">
        <v>11</v>
      </c>
      <c r="C69" s="5" t="s">
        <v>7</v>
      </c>
      <c r="D69" s="5" t="s">
        <v>129</v>
      </c>
      <c r="E69" s="5" t="s">
        <v>130</v>
      </c>
      <c r="F69" s="5" t="s">
        <v>131</v>
      </c>
      <c r="G69" s="5" t="s">
        <v>10</v>
      </c>
      <c r="H69" s="6">
        <v>1848</v>
      </c>
      <c r="I69" s="6">
        <v>3836.58</v>
      </c>
    </row>
    <row r="70" spans="1:9" outlineLevel="1" x14ac:dyDescent="0.4">
      <c r="A70" s="1">
        <v>11</v>
      </c>
      <c r="C70" s="5" t="s">
        <v>7</v>
      </c>
      <c r="D70" s="5" t="s">
        <v>132</v>
      </c>
      <c r="E70" s="5" t="s">
        <v>130</v>
      </c>
      <c r="F70" s="5" t="s">
        <v>133</v>
      </c>
      <c r="G70" s="5" t="s">
        <v>10</v>
      </c>
      <c r="H70" s="6">
        <v>1848</v>
      </c>
      <c r="I70" s="6">
        <v>3836.58</v>
      </c>
    </row>
    <row r="71" spans="1:9" outlineLevel="1" x14ac:dyDescent="0.4">
      <c r="A71" s="1">
        <v>11</v>
      </c>
      <c r="C71" s="5" t="s">
        <v>134</v>
      </c>
      <c r="D71" s="5" t="s">
        <v>135</v>
      </c>
      <c r="E71" s="5" t="s">
        <v>136</v>
      </c>
      <c r="F71" s="5" t="s">
        <v>137</v>
      </c>
      <c r="G71" s="5" t="s">
        <v>10</v>
      </c>
      <c r="H71" s="6">
        <v>1056</v>
      </c>
      <c r="I71" s="6">
        <v>3505.7</v>
      </c>
    </row>
    <row r="72" spans="1:9" outlineLevel="1" x14ac:dyDescent="0.4">
      <c r="A72" s="1">
        <v>11</v>
      </c>
      <c r="C72" s="5" t="s">
        <v>134</v>
      </c>
      <c r="D72" s="5" t="s">
        <v>138</v>
      </c>
      <c r="E72" s="5" t="s">
        <v>136</v>
      </c>
      <c r="F72" s="5" t="s">
        <v>139</v>
      </c>
      <c r="G72" s="5" t="s">
        <v>10</v>
      </c>
      <c r="H72" s="6">
        <v>1056</v>
      </c>
      <c r="I72" s="6">
        <v>3505.7</v>
      </c>
    </row>
    <row r="73" spans="1:9" outlineLevel="1" x14ac:dyDescent="0.4">
      <c r="A73" s="1">
        <v>11</v>
      </c>
      <c r="C73" s="5" t="s">
        <v>134</v>
      </c>
      <c r="D73" s="5" t="s">
        <v>140</v>
      </c>
      <c r="E73" s="5" t="s">
        <v>136</v>
      </c>
      <c r="F73" s="5" t="s">
        <v>141</v>
      </c>
      <c r="G73" s="5" t="s">
        <v>10</v>
      </c>
      <c r="H73" s="6">
        <v>1056</v>
      </c>
      <c r="I73" s="6">
        <v>3505.7</v>
      </c>
    </row>
    <row r="74" spans="1:9" outlineLevel="1" x14ac:dyDescent="0.4">
      <c r="A74" s="1">
        <v>11</v>
      </c>
      <c r="C74" s="5" t="s">
        <v>134</v>
      </c>
      <c r="D74" s="5" t="s">
        <v>142</v>
      </c>
      <c r="E74" s="5" t="s">
        <v>130</v>
      </c>
      <c r="F74" s="5" t="s">
        <v>143</v>
      </c>
      <c r="G74" s="5" t="s">
        <v>10</v>
      </c>
      <c r="H74" s="6">
        <v>1848</v>
      </c>
      <c r="I74" s="6">
        <v>3836.58</v>
      </c>
    </row>
    <row r="75" spans="1:9" outlineLevel="1" x14ac:dyDescent="0.4">
      <c r="A75" s="1">
        <v>11</v>
      </c>
      <c r="C75" s="5" t="s">
        <v>134</v>
      </c>
      <c r="D75" s="5" t="s">
        <v>144</v>
      </c>
      <c r="E75" s="5" t="s">
        <v>136</v>
      </c>
      <c r="F75" s="5" t="s">
        <v>145</v>
      </c>
      <c r="G75" s="5" t="s">
        <v>10</v>
      </c>
      <c r="H75" s="6">
        <v>1056</v>
      </c>
      <c r="I75" s="6">
        <v>3505.7</v>
      </c>
    </row>
    <row r="76" spans="1:9" outlineLevel="1" x14ac:dyDescent="0.4">
      <c r="A76" s="1">
        <v>11</v>
      </c>
      <c r="C76" s="5" t="s">
        <v>134</v>
      </c>
      <c r="D76" s="5" t="s">
        <v>146</v>
      </c>
      <c r="E76" s="5" t="s">
        <v>136</v>
      </c>
      <c r="F76" s="5" t="s">
        <v>147</v>
      </c>
      <c r="G76" s="5" t="s">
        <v>10</v>
      </c>
      <c r="H76" s="6">
        <v>1056</v>
      </c>
      <c r="I76" s="6">
        <v>3505.7</v>
      </c>
    </row>
    <row r="77" spans="1:9" outlineLevel="1" x14ac:dyDescent="0.4">
      <c r="A77" s="1">
        <v>11</v>
      </c>
      <c r="C77" s="5" t="s">
        <v>134</v>
      </c>
      <c r="D77" s="5" t="s">
        <v>148</v>
      </c>
      <c r="E77" s="5" t="s">
        <v>130</v>
      </c>
      <c r="F77" s="5" t="s">
        <v>149</v>
      </c>
      <c r="G77" s="5" t="s">
        <v>10</v>
      </c>
      <c r="H77" s="6">
        <v>1848</v>
      </c>
      <c r="I77" s="6">
        <v>3836.58</v>
      </c>
    </row>
    <row r="78" spans="1:9" outlineLevel="1" x14ac:dyDescent="0.4">
      <c r="A78" s="1">
        <v>11</v>
      </c>
      <c r="C78" s="5" t="s">
        <v>134</v>
      </c>
      <c r="D78" s="5" t="s">
        <v>150</v>
      </c>
      <c r="E78" s="5" t="s">
        <v>130</v>
      </c>
      <c r="F78" s="5" t="s">
        <v>151</v>
      </c>
      <c r="G78" s="5" t="s">
        <v>10</v>
      </c>
      <c r="H78" s="6">
        <v>1848</v>
      </c>
      <c r="I78" s="6">
        <v>3836.58</v>
      </c>
    </row>
    <row r="79" spans="1:9" outlineLevel="1" x14ac:dyDescent="0.4">
      <c r="A79" s="1">
        <v>11</v>
      </c>
      <c r="C79" s="5" t="s">
        <v>134</v>
      </c>
      <c r="D79" s="5" t="s">
        <v>152</v>
      </c>
      <c r="E79" s="5" t="s">
        <v>136</v>
      </c>
      <c r="F79" s="5" t="s">
        <v>153</v>
      </c>
      <c r="G79" s="5" t="s">
        <v>10</v>
      </c>
      <c r="H79" s="6">
        <v>1056</v>
      </c>
      <c r="I79" s="6">
        <v>3505.7</v>
      </c>
    </row>
    <row r="80" spans="1:9" outlineLevel="1" x14ac:dyDescent="0.4">
      <c r="A80" s="1">
        <v>11</v>
      </c>
      <c r="C80" s="5" t="s">
        <v>134</v>
      </c>
      <c r="D80" s="5" t="s">
        <v>154</v>
      </c>
      <c r="E80" s="5" t="s">
        <v>136</v>
      </c>
      <c r="F80" s="5" t="s">
        <v>155</v>
      </c>
      <c r="G80" s="5" t="s">
        <v>10</v>
      </c>
      <c r="H80" s="6">
        <v>1056</v>
      </c>
      <c r="I80" s="6">
        <v>3505.7</v>
      </c>
    </row>
    <row r="81" spans="1:9" outlineLevel="1" x14ac:dyDescent="0.4">
      <c r="A81" s="1">
        <v>11</v>
      </c>
      <c r="C81" s="5" t="s">
        <v>134</v>
      </c>
      <c r="D81" s="5" t="s">
        <v>156</v>
      </c>
      <c r="E81" s="5" t="s">
        <v>136</v>
      </c>
      <c r="F81" s="5" t="s">
        <v>157</v>
      </c>
      <c r="G81" s="5" t="s">
        <v>10</v>
      </c>
      <c r="H81" s="6">
        <v>1056</v>
      </c>
      <c r="I81" s="6">
        <v>3505.7</v>
      </c>
    </row>
    <row r="82" spans="1:9" outlineLevel="1" x14ac:dyDescent="0.4">
      <c r="A82" s="1">
        <v>11</v>
      </c>
      <c r="C82" s="5" t="s">
        <v>134</v>
      </c>
      <c r="D82" s="5" t="s">
        <v>158</v>
      </c>
      <c r="E82" s="5" t="s">
        <v>130</v>
      </c>
      <c r="F82" s="5" t="s">
        <v>159</v>
      </c>
      <c r="G82" s="5" t="s">
        <v>10</v>
      </c>
      <c r="H82" s="6">
        <v>1848</v>
      </c>
      <c r="I82" s="6">
        <v>3836.58</v>
      </c>
    </row>
    <row r="83" spans="1:9" outlineLevel="1" x14ac:dyDescent="0.4">
      <c r="A83" s="1">
        <v>11</v>
      </c>
      <c r="C83" s="5" t="s">
        <v>134</v>
      </c>
      <c r="D83" s="5" t="s">
        <v>160</v>
      </c>
      <c r="E83" s="5" t="s">
        <v>136</v>
      </c>
      <c r="F83" s="5" t="s">
        <v>161</v>
      </c>
      <c r="G83" s="5" t="s">
        <v>10</v>
      </c>
      <c r="H83" s="6">
        <v>1056</v>
      </c>
      <c r="I83" s="6">
        <v>3505.7</v>
      </c>
    </row>
    <row r="84" spans="1:9" outlineLevel="1" x14ac:dyDescent="0.4">
      <c r="A84" s="1">
        <v>11</v>
      </c>
      <c r="C84" s="5" t="s">
        <v>134</v>
      </c>
      <c r="D84" s="5" t="s">
        <v>162</v>
      </c>
      <c r="E84" s="5" t="s">
        <v>136</v>
      </c>
      <c r="F84" s="5" t="s">
        <v>163</v>
      </c>
      <c r="G84" s="5" t="s">
        <v>10</v>
      </c>
      <c r="H84" s="6">
        <v>1056</v>
      </c>
      <c r="I84" s="6">
        <v>3505.7</v>
      </c>
    </row>
    <row r="85" spans="1:9" outlineLevel="1" x14ac:dyDescent="0.4">
      <c r="A85" s="1">
        <v>11</v>
      </c>
      <c r="C85" s="5" t="s">
        <v>164</v>
      </c>
      <c r="D85" s="5" t="s">
        <v>165</v>
      </c>
      <c r="E85" s="5" t="s">
        <v>130</v>
      </c>
      <c r="F85" s="5" t="s">
        <v>166</v>
      </c>
      <c r="G85" s="5" t="s">
        <v>10</v>
      </c>
      <c r="H85" s="6">
        <v>1848</v>
      </c>
      <c r="I85" s="6">
        <v>3836.58</v>
      </c>
    </row>
    <row r="86" spans="1:9" outlineLevel="1" x14ac:dyDescent="0.4">
      <c r="A86" s="1">
        <v>11</v>
      </c>
      <c r="C86" s="5" t="s">
        <v>164</v>
      </c>
      <c r="D86" s="5" t="s">
        <v>167</v>
      </c>
      <c r="E86" s="5" t="s">
        <v>130</v>
      </c>
      <c r="F86" s="5" t="s">
        <v>168</v>
      </c>
      <c r="G86" s="5" t="s">
        <v>10</v>
      </c>
      <c r="H86" s="6">
        <v>1848</v>
      </c>
      <c r="I86" s="6">
        <v>3836.58</v>
      </c>
    </row>
    <row r="87" spans="1:9" outlineLevel="1" x14ac:dyDescent="0.4">
      <c r="A87" s="1">
        <v>11</v>
      </c>
      <c r="C87" s="5" t="s">
        <v>164</v>
      </c>
      <c r="D87" s="5" t="s">
        <v>169</v>
      </c>
      <c r="E87" s="5" t="s">
        <v>130</v>
      </c>
      <c r="F87" s="5" t="s">
        <v>170</v>
      </c>
      <c r="G87" s="5" t="s">
        <v>10</v>
      </c>
      <c r="H87" s="6">
        <v>1848</v>
      </c>
      <c r="I87" s="6">
        <v>3836.58</v>
      </c>
    </row>
    <row r="88" spans="1:9" outlineLevel="1" x14ac:dyDescent="0.4">
      <c r="A88" s="1">
        <v>11</v>
      </c>
      <c r="C88" s="5" t="s">
        <v>164</v>
      </c>
      <c r="D88" s="5" t="s">
        <v>171</v>
      </c>
      <c r="E88" s="5" t="s">
        <v>130</v>
      </c>
      <c r="F88" s="5" t="s">
        <v>172</v>
      </c>
      <c r="G88" s="5" t="s">
        <v>10</v>
      </c>
      <c r="H88" s="6">
        <v>1848</v>
      </c>
      <c r="I88" s="6">
        <v>3836.58</v>
      </c>
    </row>
    <row r="89" spans="1:9" outlineLevel="1" x14ac:dyDescent="0.4">
      <c r="A89" s="1">
        <v>11</v>
      </c>
      <c r="C89" s="5" t="s">
        <v>164</v>
      </c>
      <c r="D89" s="5" t="s">
        <v>173</v>
      </c>
      <c r="E89" s="5" t="s">
        <v>130</v>
      </c>
      <c r="F89" s="5" t="s">
        <v>174</v>
      </c>
      <c r="G89" s="5" t="s">
        <v>10</v>
      </c>
      <c r="H89" s="6">
        <v>1848</v>
      </c>
      <c r="I89" s="6">
        <v>3836.58</v>
      </c>
    </row>
    <row r="90" spans="1:9" outlineLevel="1" x14ac:dyDescent="0.4">
      <c r="A90" s="1">
        <v>11</v>
      </c>
      <c r="C90" s="5" t="s">
        <v>164</v>
      </c>
      <c r="D90" s="5" t="s">
        <v>175</v>
      </c>
      <c r="E90" s="5" t="s">
        <v>130</v>
      </c>
      <c r="F90" s="5" t="s">
        <v>176</v>
      </c>
      <c r="G90" s="5" t="s">
        <v>10</v>
      </c>
      <c r="H90" s="6">
        <v>1848</v>
      </c>
      <c r="I90" s="6">
        <v>3836.58</v>
      </c>
    </row>
    <row r="91" spans="1:9" outlineLevel="1" x14ac:dyDescent="0.4">
      <c r="A91" s="1">
        <v>11</v>
      </c>
      <c r="C91" s="5" t="s">
        <v>164</v>
      </c>
      <c r="D91" s="5" t="s">
        <v>177</v>
      </c>
      <c r="E91" s="5" t="s">
        <v>130</v>
      </c>
      <c r="F91" s="5" t="s">
        <v>178</v>
      </c>
      <c r="G91" s="5" t="s">
        <v>10</v>
      </c>
      <c r="H91" s="6">
        <v>1848</v>
      </c>
      <c r="I91" s="6">
        <v>3836.58</v>
      </c>
    </row>
    <row r="92" spans="1:9" outlineLevel="1" x14ac:dyDescent="0.4">
      <c r="A92" s="1">
        <v>11</v>
      </c>
      <c r="C92" s="5" t="s">
        <v>164</v>
      </c>
      <c r="D92" s="5" t="s">
        <v>179</v>
      </c>
      <c r="E92" s="5" t="s">
        <v>130</v>
      </c>
      <c r="F92" s="5" t="s">
        <v>180</v>
      </c>
      <c r="G92" s="5" t="s">
        <v>10</v>
      </c>
      <c r="H92" s="6">
        <v>1848</v>
      </c>
      <c r="I92" s="6">
        <v>3836.58</v>
      </c>
    </row>
    <row r="93" spans="1:9" outlineLevel="1" x14ac:dyDescent="0.4">
      <c r="A93" s="1">
        <v>11</v>
      </c>
      <c r="C93" s="5" t="s">
        <v>164</v>
      </c>
      <c r="D93" s="5" t="s">
        <v>181</v>
      </c>
      <c r="E93" s="5" t="s">
        <v>130</v>
      </c>
      <c r="F93" s="5" t="s">
        <v>182</v>
      </c>
      <c r="G93" s="5" t="s">
        <v>10</v>
      </c>
      <c r="H93" s="6">
        <v>1848</v>
      </c>
      <c r="I93" s="6">
        <v>3836.58</v>
      </c>
    </row>
    <row r="94" spans="1:9" outlineLevel="1" x14ac:dyDescent="0.4">
      <c r="A94" s="1">
        <v>11</v>
      </c>
      <c r="C94" s="5" t="s">
        <v>164</v>
      </c>
      <c r="D94" s="5" t="s">
        <v>183</v>
      </c>
      <c r="E94" s="5" t="s">
        <v>130</v>
      </c>
      <c r="F94" s="5" t="s">
        <v>184</v>
      </c>
      <c r="G94" s="5" t="s">
        <v>10</v>
      </c>
      <c r="H94" s="6">
        <v>1848</v>
      </c>
      <c r="I94" s="6">
        <v>3836.58</v>
      </c>
    </row>
    <row r="95" spans="1:9" outlineLevel="1" x14ac:dyDescent="0.4">
      <c r="A95" s="1">
        <v>11</v>
      </c>
      <c r="C95" s="5" t="s">
        <v>164</v>
      </c>
      <c r="D95" s="5" t="s">
        <v>185</v>
      </c>
      <c r="E95" s="5" t="s">
        <v>130</v>
      </c>
      <c r="F95" s="5" t="s">
        <v>186</v>
      </c>
      <c r="G95" s="5" t="s">
        <v>10</v>
      </c>
      <c r="H95" s="6">
        <v>1848</v>
      </c>
      <c r="I95" s="6">
        <v>3836.58</v>
      </c>
    </row>
    <row r="96" spans="1:9" outlineLevel="1" x14ac:dyDescent="0.4">
      <c r="A96" s="1">
        <v>11</v>
      </c>
      <c r="C96" s="5" t="s">
        <v>164</v>
      </c>
      <c r="D96" s="5" t="s">
        <v>187</v>
      </c>
      <c r="E96" s="5" t="s">
        <v>130</v>
      </c>
      <c r="F96" s="5" t="s">
        <v>188</v>
      </c>
      <c r="G96" s="5" t="s">
        <v>10</v>
      </c>
      <c r="H96" s="6">
        <v>1848</v>
      </c>
      <c r="I96" s="6">
        <v>3836.58</v>
      </c>
    </row>
    <row r="97" spans="1:9" outlineLevel="1" x14ac:dyDescent="0.4">
      <c r="A97" s="1">
        <v>11</v>
      </c>
      <c r="C97" s="5" t="s">
        <v>164</v>
      </c>
      <c r="D97" s="5" t="s">
        <v>189</v>
      </c>
      <c r="E97" s="5" t="s">
        <v>130</v>
      </c>
      <c r="F97" s="5" t="s">
        <v>190</v>
      </c>
      <c r="G97" s="5" t="s">
        <v>10</v>
      </c>
      <c r="H97" s="6">
        <v>1848</v>
      </c>
      <c r="I97" s="6">
        <v>3836.58</v>
      </c>
    </row>
    <row r="98" spans="1:9" outlineLevel="1" x14ac:dyDescent="0.4">
      <c r="A98" s="1">
        <v>11</v>
      </c>
      <c r="C98" s="5" t="s">
        <v>164</v>
      </c>
      <c r="D98" s="5" t="s">
        <v>191</v>
      </c>
      <c r="E98" s="5" t="s">
        <v>130</v>
      </c>
      <c r="F98" s="5" t="s">
        <v>192</v>
      </c>
      <c r="G98" s="5" t="s">
        <v>10</v>
      </c>
      <c r="H98" s="6">
        <v>1848</v>
      </c>
      <c r="I98" s="6">
        <v>3836.58</v>
      </c>
    </row>
    <row r="99" spans="1:9" outlineLevel="1" x14ac:dyDescent="0.4">
      <c r="A99" s="1">
        <v>11</v>
      </c>
      <c r="C99" s="5" t="s">
        <v>164</v>
      </c>
      <c r="D99" s="5" t="s">
        <v>193</v>
      </c>
      <c r="E99" s="5" t="s">
        <v>130</v>
      </c>
      <c r="F99" s="5" t="s">
        <v>194</v>
      </c>
      <c r="G99" s="5" t="s">
        <v>10</v>
      </c>
      <c r="H99" s="6">
        <v>1848</v>
      </c>
      <c r="I99" s="6">
        <v>3836.58</v>
      </c>
    </row>
    <row r="100" spans="1:9" outlineLevel="1" x14ac:dyDescent="0.4">
      <c r="A100" s="1">
        <v>11</v>
      </c>
      <c r="C100" s="5" t="s">
        <v>164</v>
      </c>
      <c r="D100" s="5" t="s">
        <v>195</v>
      </c>
      <c r="E100" s="5" t="s">
        <v>130</v>
      </c>
      <c r="F100" s="5" t="s">
        <v>196</v>
      </c>
      <c r="G100" s="5" t="s">
        <v>10</v>
      </c>
      <c r="H100" s="6">
        <v>1848</v>
      </c>
      <c r="I100" s="6">
        <v>3836.58</v>
      </c>
    </row>
    <row r="101" spans="1:9" outlineLevel="1" x14ac:dyDescent="0.4">
      <c r="A101" s="1">
        <v>11</v>
      </c>
      <c r="C101" s="5" t="s">
        <v>164</v>
      </c>
      <c r="D101" s="5" t="s">
        <v>197</v>
      </c>
      <c r="E101" s="5" t="s">
        <v>130</v>
      </c>
      <c r="F101" s="5" t="s">
        <v>198</v>
      </c>
      <c r="G101" s="5" t="s">
        <v>10</v>
      </c>
      <c r="H101" s="6">
        <v>1848</v>
      </c>
      <c r="I101" s="6">
        <v>3836.58</v>
      </c>
    </row>
    <row r="102" spans="1:9" outlineLevel="1" x14ac:dyDescent="0.4">
      <c r="A102" s="1">
        <v>11</v>
      </c>
      <c r="C102" s="5" t="s">
        <v>164</v>
      </c>
      <c r="D102" s="5" t="s">
        <v>199</v>
      </c>
      <c r="E102" s="5" t="s">
        <v>130</v>
      </c>
      <c r="F102" s="5" t="s">
        <v>200</v>
      </c>
      <c r="G102" s="5" t="s">
        <v>10</v>
      </c>
      <c r="H102" s="6">
        <v>1848</v>
      </c>
      <c r="I102" s="6">
        <v>3836.58</v>
      </c>
    </row>
    <row r="103" spans="1:9" outlineLevel="1" x14ac:dyDescent="0.4">
      <c r="A103" s="1">
        <v>11</v>
      </c>
      <c r="C103" s="5" t="s">
        <v>164</v>
      </c>
      <c r="D103" s="5" t="s">
        <v>201</v>
      </c>
      <c r="E103" s="5" t="s">
        <v>130</v>
      </c>
      <c r="F103" s="5" t="s">
        <v>202</v>
      </c>
      <c r="G103" s="5" t="s">
        <v>10</v>
      </c>
      <c r="H103" s="6">
        <v>1848</v>
      </c>
      <c r="I103" s="6">
        <v>3836.58</v>
      </c>
    </row>
    <row r="104" spans="1:9" outlineLevel="1" x14ac:dyDescent="0.4">
      <c r="A104" s="1">
        <v>11</v>
      </c>
      <c r="C104" s="5" t="s">
        <v>58</v>
      </c>
      <c r="D104" s="5" t="s">
        <v>203</v>
      </c>
      <c r="E104" s="5" t="s">
        <v>130</v>
      </c>
      <c r="F104" s="5" t="s">
        <v>204</v>
      </c>
      <c r="G104" s="5" t="s">
        <v>10</v>
      </c>
      <c r="H104" s="6">
        <v>1848</v>
      </c>
      <c r="I104" s="6">
        <v>3836.58</v>
      </c>
    </row>
    <row r="105" spans="1:9" outlineLevel="1" x14ac:dyDescent="0.4">
      <c r="A105" s="1">
        <v>11</v>
      </c>
      <c r="C105" s="5" t="s">
        <v>58</v>
      </c>
      <c r="D105" s="5" t="s">
        <v>205</v>
      </c>
      <c r="E105" s="5" t="s">
        <v>130</v>
      </c>
      <c r="F105" s="5" t="s">
        <v>206</v>
      </c>
      <c r="G105" s="5" t="s">
        <v>10</v>
      </c>
      <c r="H105" s="6">
        <v>1848</v>
      </c>
      <c r="I105" s="6">
        <v>3836.58</v>
      </c>
    </row>
    <row r="106" spans="1:9" outlineLevel="1" x14ac:dyDescent="0.4">
      <c r="A106" s="1">
        <v>11</v>
      </c>
      <c r="C106" s="5" t="s">
        <v>58</v>
      </c>
      <c r="D106" s="5" t="s">
        <v>207</v>
      </c>
      <c r="E106" s="5" t="s">
        <v>130</v>
      </c>
      <c r="F106" s="5" t="s">
        <v>208</v>
      </c>
      <c r="G106" s="5" t="s">
        <v>10</v>
      </c>
      <c r="H106" s="6">
        <v>1848</v>
      </c>
      <c r="I106" s="6">
        <v>3836.58</v>
      </c>
    </row>
    <row r="107" spans="1:9" outlineLevel="1" x14ac:dyDescent="0.4">
      <c r="A107" s="1">
        <v>11</v>
      </c>
      <c r="C107" s="5" t="s">
        <v>58</v>
      </c>
      <c r="D107" s="5" t="s">
        <v>209</v>
      </c>
      <c r="E107" s="5" t="s">
        <v>130</v>
      </c>
      <c r="F107" s="5" t="s">
        <v>210</v>
      </c>
      <c r="G107" s="5" t="s">
        <v>10</v>
      </c>
      <c r="H107" s="6">
        <v>1848</v>
      </c>
      <c r="I107" s="6">
        <v>3836.58</v>
      </c>
    </row>
    <row r="108" spans="1:9" outlineLevel="1" x14ac:dyDescent="0.4">
      <c r="A108" s="1">
        <v>11</v>
      </c>
      <c r="C108" s="5" t="s">
        <v>211</v>
      </c>
      <c r="D108" s="5" t="s">
        <v>212</v>
      </c>
      <c r="E108" s="5" t="s">
        <v>130</v>
      </c>
      <c r="F108" s="5" t="s">
        <v>213</v>
      </c>
      <c r="G108" s="5" t="s">
        <v>10</v>
      </c>
      <c r="H108" s="6">
        <v>1848</v>
      </c>
      <c r="I108" s="6">
        <v>3836.58</v>
      </c>
    </row>
    <row r="109" spans="1:9" outlineLevel="1" x14ac:dyDescent="0.4">
      <c r="A109" s="1">
        <v>11</v>
      </c>
      <c r="C109" s="5" t="s">
        <v>211</v>
      </c>
      <c r="D109" s="5" t="s">
        <v>214</v>
      </c>
      <c r="E109" s="5" t="s">
        <v>130</v>
      </c>
      <c r="F109" s="5" t="s">
        <v>215</v>
      </c>
      <c r="G109" s="5" t="s">
        <v>10</v>
      </c>
      <c r="H109" s="6">
        <v>1848</v>
      </c>
      <c r="I109" s="6">
        <v>3836.58</v>
      </c>
    </row>
    <row r="110" spans="1:9" outlineLevel="1" x14ac:dyDescent="0.4">
      <c r="A110" s="1">
        <v>11</v>
      </c>
      <c r="C110" s="5" t="s">
        <v>211</v>
      </c>
      <c r="D110" s="5" t="s">
        <v>216</v>
      </c>
      <c r="E110" s="5" t="s">
        <v>130</v>
      </c>
      <c r="F110" s="5" t="s">
        <v>217</v>
      </c>
      <c r="G110" s="5" t="s">
        <v>10</v>
      </c>
      <c r="H110" s="6">
        <v>1848</v>
      </c>
      <c r="I110" s="6">
        <v>3836.58</v>
      </c>
    </row>
    <row r="111" spans="1:9" outlineLevel="1" x14ac:dyDescent="0.4">
      <c r="A111" s="1">
        <v>11</v>
      </c>
      <c r="C111" s="5" t="s">
        <v>211</v>
      </c>
      <c r="D111" s="5" t="s">
        <v>218</v>
      </c>
      <c r="E111" s="5" t="s">
        <v>130</v>
      </c>
      <c r="F111" s="5" t="s">
        <v>219</v>
      </c>
      <c r="G111" s="5" t="s">
        <v>10</v>
      </c>
      <c r="H111" s="6">
        <v>1848</v>
      </c>
      <c r="I111" s="6">
        <v>3836.58</v>
      </c>
    </row>
    <row r="112" spans="1:9" outlineLevel="1" x14ac:dyDescent="0.4">
      <c r="A112" s="1">
        <v>11</v>
      </c>
      <c r="C112" s="5" t="s">
        <v>211</v>
      </c>
      <c r="D112" s="5" t="s">
        <v>220</v>
      </c>
      <c r="E112" s="5" t="s">
        <v>130</v>
      </c>
      <c r="F112" s="5" t="s">
        <v>221</v>
      </c>
      <c r="G112" s="5" t="s">
        <v>10</v>
      </c>
      <c r="H112" s="6">
        <v>1848</v>
      </c>
      <c r="I112" s="6">
        <v>3836.58</v>
      </c>
    </row>
    <row r="113" spans="1:9" outlineLevel="1" x14ac:dyDescent="0.4">
      <c r="A113" s="1">
        <v>11</v>
      </c>
      <c r="C113" s="5" t="s">
        <v>211</v>
      </c>
      <c r="D113" s="5" t="s">
        <v>222</v>
      </c>
      <c r="E113" s="5" t="s">
        <v>130</v>
      </c>
      <c r="F113" s="5" t="s">
        <v>223</v>
      </c>
      <c r="G113" s="5" t="s">
        <v>10</v>
      </c>
      <c r="H113" s="6">
        <v>1848</v>
      </c>
      <c r="I113" s="6">
        <v>3836.58</v>
      </c>
    </row>
    <row r="114" spans="1:9" outlineLevel="1" x14ac:dyDescent="0.4">
      <c r="A114" s="1">
        <v>11</v>
      </c>
      <c r="C114" s="5" t="s">
        <v>211</v>
      </c>
      <c r="D114" s="5" t="s">
        <v>224</v>
      </c>
      <c r="E114" s="5" t="s">
        <v>130</v>
      </c>
      <c r="F114" s="5" t="s">
        <v>225</v>
      </c>
      <c r="G114" s="5" t="s">
        <v>10</v>
      </c>
      <c r="H114" s="6">
        <v>1848</v>
      </c>
      <c r="I114" s="6">
        <v>3836.58</v>
      </c>
    </row>
    <row r="115" spans="1:9" outlineLevel="1" x14ac:dyDescent="0.4">
      <c r="A115" s="1">
        <v>11</v>
      </c>
      <c r="C115" s="5" t="s">
        <v>211</v>
      </c>
      <c r="D115" s="5" t="s">
        <v>226</v>
      </c>
      <c r="E115" s="5" t="s">
        <v>130</v>
      </c>
      <c r="F115" s="5" t="s">
        <v>227</v>
      </c>
      <c r="G115" s="5" t="s">
        <v>10</v>
      </c>
      <c r="H115" s="6">
        <v>1848</v>
      </c>
      <c r="I115" s="6">
        <v>3836.58</v>
      </c>
    </row>
    <row r="116" spans="1:9" outlineLevel="1" x14ac:dyDescent="0.4">
      <c r="A116" s="1">
        <v>11</v>
      </c>
      <c r="C116" s="5" t="s">
        <v>211</v>
      </c>
      <c r="D116" s="5" t="s">
        <v>228</v>
      </c>
      <c r="E116" s="5" t="s">
        <v>130</v>
      </c>
      <c r="F116" s="5" t="s">
        <v>229</v>
      </c>
      <c r="G116" s="5" t="s">
        <v>10</v>
      </c>
      <c r="H116" s="6">
        <v>1848</v>
      </c>
      <c r="I116" s="6">
        <v>3836.58</v>
      </c>
    </row>
    <row r="117" spans="1:9" outlineLevel="1" x14ac:dyDescent="0.4">
      <c r="A117" s="1">
        <v>11</v>
      </c>
      <c r="C117" s="5" t="s">
        <v>211</v>
      </c>
      <c r="D117" s="5" t="s">
        <v>230</v>
      </c>
      <c r="E117" s="5" t="s">
        <v>130</v>
      </c>
      <c r="F117" s="5" t="s">
        <v>231</v>
      </c>
      <c r="G117" s="5" t="s">
        <v>10</v>
      </c>
      <c r="H117" s="6">
        <v>1848</v>
      </c>
      <c r="I117" s="6">
        <v>3836.58</v>
      </c>
    </row>
    <row r="118" spans="1:9" outlineLevel="1" x14ac:dyDescent="0.4">
      <c r="A118" s="1">
        <v>11</v>
      </c>
      <c r="C118" s="5" t="s">
        <v>211</v>
      </c>
      <c r="D118" s="5" t="s">
        <v>232</v>
      </c>
      <c r="E118" s="5" t="s">
        <v>130</v>
      </c>
      <c r="F118" s="5" t="s">
        <v>233</v>
      </c>
      <c r="G118" s="5" t="s">
        <v>10</v>
      </c>
      <c r="H118" s="6">
        <v>1848</v>
      </c>
      <c r="I118" s="6">
        <v>3836.58</v>
      </c>
    </row>
    <row r="119" spans="1:9" outlineLevel="1" x14ac:dyDescent="0.4">
      <c r="A119" s="1">
        <v>11</v>
      </c>
      <c r="C119" s="5" t="s">
        <v>211</v>
      </c>
      <c r="D119" s="5" t="s">
        <v>234</v>
      </c>
      <c r="E119" s="5" t="s">
        <v>130</v>
      </c>
      <c r="F119" s="5" t="s">
        <v>235</v>
      </c>
      <c r="G119" s="5" t="s">
        <v>10</v>
      </c>
      <c r="H119" s="6">
        <v>1848</v>
      </c>
      <c r="I119" s="6">
        <v>3836.58</v>
      </c>
    </row>
    <row r="120" spans="1:9" outlineLevel="1" x14ac:dyDescent="0.4">
      <c r="A120" s="1">
        <v>11</v>
      </c>
      <c r="C120" s="5" t="s">
        <v>211</v>
      </c>
      <c r="D120" s="5" t="s">
        <v>236</v>
      </c>
      <c r="E120" s="5" t="s">
        <v>130</v>
      </c>
      <c r="F120" s="5" t="s">
        <v>237</v>
      </c>
      <c r="G120" s="5" t="s">
        <v>10</v>
      </c>
      <c r="H120" s="6">
        <v>1848</v>
      </c>
      <c r="I120" s="6">
        <v>3836.58</v>
      </c>
    </row>
    <row r="121" spans="1:9" outlineLevel="1" x14ac:dyDescent="0.4">
      <c r="A121" s="1">
        <v>11</v>
      </c>
      <c r="C121" s="5" t="s">
        <v>211</v>
      </c>
      <c r="D121" s="5" t="s">
        <v>238</v>
      </c>
      <c r="E121" s="5" t="s">
        <v>130</v>
      </c>
      <c r="F121" s="5" t="s">
        <v>239</v>
      </c>
      <c r="G121" s="5" t="s">
        <v>10</v>
      </c>
      <c r="H121" s="6">
        <v>1848</v>
      </c>
      <c r="I121" s="6">
        <v>3836.58</v>
      </c>
    </row>
    <row r="122" spans="1:9" outlineLevel="1" x14ac:dyDescent="0.4">
      <c r="A122" s="1">
        <v>11</v>
      </c>
      <c r="C122" s="5" t="s">
        <v>211</v>
      </c>
      <c r="D122" s="5" t="s">
        <v>240</v>
      </c>
      <c r="E122" s="5" t="s">
        <v>130</v>
      </c>
      <c r="F122" s="5" t="s">
        <v>241</v>
      </c>
      <c r="G122" s="5" t="s">
        <v>10</v>
      </c>
      <c r="H122" s="6">
        <v>1848</v>
      </c>
      <c r="I122" s="6">
        <v>3836.58</v>
      </c>
    </row>
    <row r="123" spans="1:9" outlineLevel="1" x14ac:dyDescent="0.4">
      <c r="A123" s="1">
        <v>11</v>
      </c>
      <c r="C123" s="5" t="s">
        <v>211</v>
      </c>
      <c r="D123" s="5" t="s">
        <v>242</v>
      </c>
      <c r="E123" s="5" t="s">
        <v>130</v>
      </c>
      <c r="F123" s="5" t="s">
        <v>243</v>
      </c>
      <c r="G123" s="5" t="s">
        <v>10</v>
      </c>
      <c r="H123" s="6">
        <v>1848</v>
      </c>
      <c r="I123" s="6">
        <v>3836.58</v>
      </c>
    </row>
    <row r="124" spans="1:9" outlineLevel="1" x14ac:dyDescent="0.4">
      <c r="A124" s="1">
        <v>11</v>
      </c>
      <c r="C124" s="5" t="s">
        <v>211</v>
      </c>
      <c r="D124" s="5" t="s">
        <v>244</v>
      </c>
      <c r="E124" s="5" t="s">
        <v>130</v>
      </c>
      <c r="F124" s="5" t="s">
        <v>245</v>
      </c>
      <c r="G124" s="5" t="s">
        <v>10</v>
      </c>
      <c r="H124" s="6">
        <v>1848</v>
      </c>
      <c r="I124" s="6">
        <v>3836.58</v>
      </c>
    </row>
    <row r="125" spans="1:9" outlineLevel="1" x14ac:dyDescent="0.4">
      <c r="A125" s="1">
        <v>11</v>
      </c>
      <c r="C125" s="5" t="s">
        <v>211</v>
      </c>
      <c r="D125" s="5" t="s">
        <v>246</v>
      </c>
      <c r="E125" s="5" t="s">
        <v>130</v>
      </c>
      <c r="F125" s="5" t="s">
        <v>247</v>
      </c>
      <c r="G125" s="5" t="s">
        <v>10</v>
      </c>
      <c r="H125" s="6">
        <v>1848</v>
      </c>
      <c r="I125" s="6">
        <v>3836.58</v>
      </c>
    </row>
    <row r="126" spans="1:9" outlineLevel="1" x14ac:dyDescent="0.4">
      <c r="A126" s="1">
        <v>11</v>
      </c>
      <c r="C126" s="5" t="s">
        <v>211</v>
      </c>
      <c r="D126" s="5" t="s">
        <v>248</v>
      </c>
      <c r="E126" s="5" t="s">
        <v>130</v>
      </c>
      <c r="F126" s="5" t="s">
        <v>249</v>
      </c>
      <c r="G126" s="5" t="s">
        <v>10</v>
      </c>
      <c r="H126" s="6">
        <v>1848</v>
      </c>
      <c r="I126" s="6">
        <v>3836.58</v>
      </c>
    </row>
    <row r="127" spans="1:9" outlineLevel="1" x14ac:dyDescent="0.4">
      <c r="A127" s="1">
        <v>11</v>
      </c>
      <c r="C127" s="5" t="s">
        <v>250</v>
      </c>
      <c r="D127" s="5" t="s">
        <v>251</v>
      </c>
      <c r="E127" s="5" t="s">
        <v>130</v>
      </c>
      <c r="F127" s="5" t="s">
        <v>252</v>
      </c>
      <c r="G127" s="5" t="s">
        <v>10</v>
      </c>
      <c r="H127" s="6">
        <v>1848</v>
      </c>
      <c r="I127" s="6">
        <v>3836.58</v>
      </c>
    </row>
    <row r="128" spans="1:9" outlineLevel="1" x14ac:dyDescent="0.4">
      <c r="A128" s="1">
        <v>11</v>
      </c>
      <c r="C128" s="5" t="s">
        <v>253</v>
      </c>
      <c r="D128" s="5" t="s">
        <v>254</v>
      </c>
      <c r="E128" s="5" t="s">
        <v>130</v>
      </c>
      <c r="F128" s="5" t="s">
        <v>255</v>
      </c>
      <c r="G128" s="5" t="s">
        <v>10</v>
      </c>
      <c r="H128" s="6">
        <v>1056</v>
      </c>
      <c r="I128" s="6">
        <v>3505.7</v>
      </c>
    </row>
    <row r="129" spans="1:9" outlineLevel="1" x14ac:dyDescent="0.4">
      <c r="A129" s="1">
        <v>11</v>
      </c>
      <c r="C129" s="5" t="s">
        <v>253</v>
      </c>
      <c r="D129" s="5" t="s">
        <v>256</v>
      </c>
      <c r="E129" s="5" t="s">
        <v>136</v>
      </c>
      <c r="F129" s="5" t="s">
        <v>257</v>
      </c>
      <c r="G129" s="5" t="s">
        <v>10</v>
      </c>
      <c r="H129" s="6">
        <v>1056</v>
      </c>
      <c r="I129" s="6">
        <v>3505.7</v>
      </c>
    </row>
    <row r="130" spans="1:9" x14ac:dyDescent="0.4">
      <c r="A130" s="7"/>
      <c r="B130" s="7"/>
      <c r="H130" s="10">
        <v>103224</v>
      </c>
      <c r="I130" s="11">
        <f>I69+I70+I71+I72+I73+I74+I75+I76+I77+I78+I79+I80+I81+I82+I83+I84+I85+I86+I87+I88+I89+I90+I91+I92+I93+I94+I95+I96+I97+I98+I99+I100+I101+I102+I103+I104+I105+I106+I107+I108+I109+I110+I111+I112+I113+I114+I115+I116+I117+I118+I119+I120+I121+I122+I123+I124+I125+I126+I127+I128+I129</f>
        <v>230060.81999999975</v>
      </c>
    </row>
    <row r="131" spans="1:9" x14ac:dyDescent="0.4">
      <c r="A131" s="4"/>
      <c r="B131" s="4"/>
    </row>
    <row r="132" spans="1:9" outlineLevel="1" x14ac:dyDescent="0.4">
      <c r="A132" s="1">
        <v>11</v>
      </c>
      <c r="C132" s="5" t="s">
        <v>250</v>
      </c>
      <c r="D132" s="5" t="s">
        <v>258</v>
      </c>
      <c r="E132" s="5" t="s">
        <v>136</v>
      </c>
      <c r="F132" s="5" t="s">
        <v>259</v>
      </c>
      <c r="G132" s="5" t="s">
        <v>10</v>
      </c>
      <c r="H132" s="6">
        <v>1056</v>
      </c>
      <c r="I132" s="6">
        <v>3505.7</v>
      </c>
    </row>
    <row r="133" spans="1:9" outlineLevel="1" x14ac:dyDescent="0.4">
      <c r="A133" s="1">
        <v>11</v>
      </c>
      <c r="C133" s="5" t="s">
        <v>250</v>
      </c>
      <c r="D133" s="5" t="s">
        <v>260</v>
      </c>
      <c r="E133" s="5" t="s">
        <v>136</v>
      </c>
      <c r="F133" s="5" t="s">
        <v>261</v>
      </c>
      <c r="G133" s="5" t="s">
        <v>10</v>
      </c>
      <c r="H133" s="6">
        <v>1056</v>
      </c>
      <c r="I133" s="6">
        <v>3505.7</v>
      </c>
    </row>
    <row r="134" spans="1:9" outlineLevel="1" x14ac:dyDescent="0.4">
      <c r="A134" s="1">
        <v>11</v>
      </c>
      <c r="C134" s="5" t="s">
        <v>250</v>
      </c>
      <c r="D134" s="5" t="s">
        <v>262</v>
      </c>
      <c r="E134" s="5" t="s">
        <v>136</v>
      </c>
      <c r="F134" s="5" t="s">
        <v>263</v>
      </c>
      <c r="G134" s="5" t="s">
        <v>10</v>
      </c>
      <c r="H134" s="6">
        <v>1056</v>
      </c>
      <c r="I134" s="6">
        <v>3505.7</v>
      </c>
    </row>
    <row r="135" spans="1:9" outlineLevel="1" x14ac:dyDescent="0.4">
      <c r="A135" s="1">
        <v>11</v>
      </c>
      <c r="C135" s="5" t="s">
        <v>250</v>
      </c>
      <c r="D135" s="5" t="s">
        <v>264</v>
      </c>
      <c r="E135" s="5" t="s">
        <v>136</v>
      </c>
      <c r="F135" s="5" t="s">
        <v>265</v>
      </c>
      <c r="G135" s="5" t="s">
        <v>10</v>
      </c>
      <c r="H135" s="6">
        <v>1056</v>
      </c>
      <c r="I135" s="6">
        <v>3505.7</v>
      </c>
    </row>
    <row r="136" spans="1:9" outlineLevel="1" x14ac:dyDescent="0.4">
      <c r="A136" s="1">
        <v>11</v>
      </c>
      <c r="C136" s="5" t="s">
        <v>250</v>
      </c>
      <c r="D136" s="5" t="s">
        <v>266</v>
      </c>
      <c r="E136" s="5" t="s">
        <v>136</v>
      </c>
      <c r="F136" s="5" t="s">
        <v>267</v>
      </c>
      <c r="G136" s="5" t="s">
        <v>10</v>
      </c>
      <c r="H136" s="6">
        <v>1056</v>
      </c>
      <c r="I136" s="6">
        <v>3505.7</v>
      </c>
    </row>
    <row r="137" spans="1:9" outlineLevel="1" x14ac:dyDescent="0.4">
      <c r="A137" s="1">
        <v>11</v>
      </c>
      <c r="C137" s="5" t="s">
        <v>250</v>
      </c>
      <c r="D137" s="5" t="s">
        <v>268</v>
      </c>
      <c r="E137" s="5" t="s">
        <v>136</v>
      </c>
      <c r="F137" s="5" t="s">
        <v>269</v>
      </c>
      <c r="G137" s="5" t="s">
        <v>10</v>
      </c>
      <c r="H137" s="6">
        <v>1056</v>
      </c>
      <c r="I137" s="6">
        <v>3505.7</v>
      </c>
    </row>
    <row r="138" spans="1:9" outlineLevel="1" x14ac:dyDescent="0.4">
      <c r="A138" s="1">
        <v>11</v>
      </c>
      <c r="C138" s="5" t="s">
        <v>250</v>
      </c>
      <c r="D138" s="5" t="s">
        <v>270</v>
      </c>
      <c r="E138" s="5" t="s">
        <v>130</v>
      </c>
      <c r="F138" s="5" t="s">
        <v>271</v>
      </c>
      <c r="G138" s="5" t="s">
        <v>10</v>
      </c>
      <c r="H138" s="6">
        <v>1848</v>
      </c>
      <c r="I138" s="6">
        <v>3836.58</v>
      </c>
    </row>
    <row r="139" spans="1:9" outlineLevel="1" x14ac:dyDescent="0.4">
      <c r="A139" s="1">
        <v>11</v>
      </c>
      <c r="C139" s="5" t="s">
        <v>250</v>
      </c>
      <c r="D139" s="5" t="s">
        <v>272</v>
      </c>
      <c r="E139" s="5" t="s">
        <v>130</v>
      </c>
      <c r="F139" s="5" t="s">
        <v>237</v>
      </c>
      <c r="G139" s="5" t="s">
        <v>10</v>
      </c>
      <c r="H139" s="6">
        <v>1848</v>
      </c>
      <c r="I139" s="6">
        <v>3836.58</v>
      </c>
    </row>
    <row r="140" spans="1:9" outlineLevel="1" x14ac:dyDescent="0.4">
      <c r="A140" s="1">
        <v>11</v>
      </c>
      <c r="C140" s="5" t="s">
        <v>250</v>
      </c>
      <c r="D140" s="5" t="s">
        <v>273</v>
      </c>
      <c r="E140" s="5" t="s">
        <v>136</v>
      </c>
      <c r="F140" s="5" t="s">
        <v>274</v>
      </c>
      <c r="G140" s="5" t="s">
        <v>10</v>
      </c>
      <c r="H140" s="6">
        <v>1056</v>
      </c>
      <c r="I140" s="6">
        <v>3505.7</v>
      </c>
    </row>
    <row r="141" spans="1:9" outlineLevel="1" x14ac:dyDescent="0.4">
      <c r="A141" s="1">
        <v>11</v>
      </c>
      <c r="C141" s="5" t="s">
        <v>250</v>
      </c>
      <c r="D141" s="5" t="s">
        <v>275</v>
      </c>
      <c r="E141" s="5" t="s">
        <v>136</v>
      </c>
      <c r="F141" s="5" t="s">
        <v>276</v>
      </c>
      <c r="G141" s="5" t="s">
        <v>10</v>
      </c>
      <c r="H141" s="6">
        <v>1056</v>
      </c>
      <c r="I141" s="6">
        <v>3505.7</v>
      </c>
    </row>
    <row r="142" spans="1:9" outlineLevel="1" x14ac:dyDescent="0.4">
      <c r="A142" s="1">
        <v>11</v>
      </c>
      <c r="C142" s="5" t="s">
        <v>250</v>
      </c>
      <c r="D142" s="5" t="s">
        <v>277</v>
      </c>
      <c r="E142" s="5" t="s">
        <v>136</v>
      </c>
      <c r="F142" s="5" t="s">
        <v>278</v>
      </c>
      <c r="G142" s="5" t="s">
        <v>10</v>
      </c>
      <c r="H142" s="6">
        <v>1056</v>
      </c>
      <c r="I142" s="6">
        <v>3505.7</v>
      </c>
    </row>
    <row r="143" spans="1:9" outlineLevel="1" x14ac:dyDescent="0.4">
      <c r="A143" s="1">
        <v>11</v>
      </c>
      <c r="C143" s="5" t="s">
        <v>250</v>
      </c>
      <c r="D143" s="5" t="s">
        <v>279</v>
      </c>
      <c r="E143" s="5" t="s">
        <v>136</v>
      </c>
      <c r="F143" s="5" t="s">
        <v>280</v>
      </c>
      <c r="G143" s="5" t="s">
        <v>10</v>
      </c>
      <c r="H143" s="6">
        <v>1056</v>
      </c>
      <c r="I143" s="6">
        <v>3505.7</v>
      </c>
    </row>
    <row r="144" spans="1:9" outlineLevel="1" x14ac:dyDescent="0.4">
      <c r="A144" s="1">
        <v>11</v>
      </c>
      <c r="C144" s="5" t="s">
        <v>250</v>
      </c>
      <c r="D144" s="5" t="s">
        <v>281</v>
      </c>
      <c r="E144" s="5" t="s">
        <v>136</v>
      </c>
      <c r="F144" s="5" t="s">
        <v>282</v>
      </c>
      <c r="G144" s="5" t="s">
        <v>10</v>
      </c>
      <c r="H144" s="6">
        <v>1056</v>
      </c>
      <c r="I144" s="6">
        <v>3505.7</v>
      </c>
    </row>
    <row r="145" spans="1:9" outlineLevel="1" x14ac:dyDescent="0.4">
      <c r="A145" s="1">
        <v>11</v>
      </c>
      <c r="C145" s="5" t="s">
        <v>250</v>
      </c>
      <c r="D145" s="5" t="s">
        <v>283</v>
      </c>
      <c r="E145" s="5" t="s">
        <v>136</v>
      </c>
      <c r="F145" s="5" t="s">
        <v>284</v>
      </c>
      <c r="G145" s="5" t="s">
        <v>10</v>
      </c>
      <c r="H145" s="6">
        <v>1056</v>
      </c>
      <c r="I145" s="6">
        <v>3505.7</v>
      </c>
    </row>
    <row r="146" spans="1:9" outlineLevel="1" x14ac:dyDescent="0.4">
      <c r="A146" s="1">
        <v>11</v>
      </c>
      <c r="C146" s="5" t="s">
        <v>250</v>
      </c>
      <c r="D146" s="5" t="s">
        <v>285</v>
      </c>
      <c r="E146" s="5" t="s">
        <v>136</v>
      </c>
      <c r="F146" s="5" t="s">
        <v>286</v>
      </c>
      <c r="G146" s="5" t="s">
        <v>10</v>
      </c>
      <c r="H146" s="6">
        <v>1056</v>
      </c>
      <c r="I146" s="6">
        <v>3505.7</v>
      </c>
    </row>
    <row r="147" spans="1:9" x14ac:dyDescent="0.4">
      <c r="A147" s="7"/>
      <c r="B147" s="7"/>
      <c r="H147" s="10">
        <v>17424</v>
      </c>
      <c r="I147" s="11">
        <f>I132+I133+I134+I135+I136+I137+I138+I139+I140+I141+I142+I143+I144+I145+I146</f>
        <v>53247.259999999987</v>
      </c>
    </row>
    <row r="148" spans="1:9" x14ac:dyDescent="0.4">
      <c r="A148" s="4"/>
      <c r="B148" s="4"/>
    </row>
    <row r="149" spans="1:9" outlineLevel="1" x14ac:dyDescent="0.4">
      <c r="A149" s="1">
        <v>11</v>
      </c>
      <c r="C149" s="5" t="s">
        <v>102</v>
      </c>
      <c r="D149" s="5" t="s">
        <v>288</v>
      </c>
      <c r="E149" s="5" t="s">
        <v>287</v>
      </c>
      <c r="F149" s="5" t="s">
        <v>289</v>
      </c>
      <c r="G149" s="5" t="s">
        <v>290</v>
      </c>
      <c r="H149" s="6">
        <v>1848</v>
      </c>
      <c r="I149" s="6">
        <v>4250.3999999999996</v>
      </c>
    </row>
    <row r="150" spans="1:9" x14ac:dyDescent="0.4">
      <c r="A150" s="7"/>
      <c r="B150" s="7"/>
      <c r="H150" s="10">
        <v>1848</v>
      </c>
      <c r="I150" s="11">
        <f>I149</f>
        <v>4250.3999999999996</v>
      </c>
    </row>
    <row r="151" spans="1:9" x14ac:dyDescent="0.4">
      <c r="A151" s="4"/>
      <c r="B151" s="4"/>
    </row>
    <row r="152" spans="1:9" outlineLevel="1" x14ac:dyDescent="0.4">
      <c r="A152" s="1">
        <v>11</v>
      </c>
      <c r="C152" s="5" t="s">
        <v>69</v>
      </c>
      <c r="D152" s="5" t="s">
        <v>292</v>
      </c>
      <c r="E152" s="5" t="s">
        <v>291</v>
      </c>
      <c r="F152" s="5" t="s">
        <v>293</v>
      </c>
      <c r="G152" s="5" t="s">
        <v>294</v>
      </c>
      <c r="H152" s="6">
        <v>1512</v>
      </c>
      <c r="I152" s="6">
        <v>3477.6</v>
      </c>
    </row>
    <row r="153" spans="1:9" outlineLevel="1" x14ac:dyDescent="0.4">
      <c r="A153" s="1">
        <v>11</v>
      </c>
      <c r="C153" s="5" t="s">
        <v>69</v>
      </c>
      <c r="D153" s="5" t="s">
        <v>295</v>
      </c>
      <c r="E153" s="5" t="s">
        <v>291</v>
      </c>
      <c r="F153" s="5" t="s">
        <v>296</v>
      </c>
      <c r="G153" s="5" t="s">
        <v>297</v>
      </c>
      <c r="H153" s="6">
        <v>420</v>
      </c>
      <c r="I153" s="6">
        <v>966</v>
      </c>
    </row>
    <row r="154" spans="1:9" outlineLevel="1" x14ac:dyDescent="0.4">
      <c r="A154" s="1">
        <v>11</v>
      </c>
      <c r="C154" s="5" t="s">
        <v>69</v>
      </c>
      <c r="D154" s="5" t="s">
        <v>298</v>
      </c>
      <c r="E154" s="5" t="s">
        <v>291</v>
      </c>
      <c r="F154" s="5" t="s">
        <v>299</v>
      </c>
      <c r="G154" s="5" t="s">
        <v>300</v>
      </c>
      <c r="H154" s="6">
        <v>1596</v>
      </c>
      <c r="I154" s="6">
        <v>3670.8</v>
      </c>
    </row>
    <row r="155" spans="1:9" outlineLevel="1" x14ac:dyDescent="0.4">
      <c r="A155" s="1">
        <v>11</v>
      </c>
      <c r="C155" s="5" t="s">
        <v>301</v>
      </c>
      <c r="D155" s="5" t="s">
        <v>302</v>
      </c>
      <c r="E155" s="5" t="s">
        <v>291</v>
      </c>
      <c r="F155" s="5" t="s">
        <v>303</v>
      </c>
      <c r="G155" s="5" t="s">
        <v>10</v>
      </c>
      <c r="H155" s="6">
        <v>1848</v>
      </c>
      <c r="I155" s="6">
        <v>3836.58</v>
      </c>
    </row>
    <row r="156" spans="1:9" outlineLevel="1" x14ac:dyDescent="0.4">
      <c r="A156" s="1">
        <v>11</v>
      </c>
      <c r="C156" s="5" t="s">
        <v>301</v>
      </c>
      <c r="D156" s="5" t="s">
        <v>304</v>
      </c>
      <c r="E156" s="5" t="s">
        <v>291</v>
      </c>
      <c r="F156" s="5" t="s">
        <v>305</v>
      </c>
      <c r="G156" s="5" t="s">
        <v>10</v>
      </c>
      <c r="H156" s="6">
        <v>1848</v>
      </c>
      <c r="I156" s="6">
        <v>3836.58</v>
      </c>
    </row>
    <row r="157" spans="1:9" outlineLevel="1" x14ac:dyDescent="0.4">
      <c r="A157" s="1">
        <v>11</v>
      </c>
      <c r="C157" s="5" t="s">
        <v>301</v>
      </c>
      <c r="D157" s="5" t="s">
        <v>306</v>
      </c>
      <c r="E157" s="5" t="s">
        <v>291</v>
      </c>
      <c r="F157" s="5" t="s">
        <v>307</v>
      </c>
      <c r="G157" s="5" t="s">
        <v>10</v>
      </c>
      <c r="H157" s="6">
        <v>1848</v>
      </c>
      <c r="I157" s="6">
        <v>3836.58</v>
      </c>
    </row>
    <row r="158" spans="1:9" outlineLevel="1" x14ac:dyDescent="0.4">
      <c r="A158" s="1">
        <v>11</v>
      </c>
      <c r="C158" s="5" t="s">
        <v>301</v>
      </c>
      <c r="D158" s="5" t="s">
        <v>308</v>
      </c>
      <c r="E158" s="5" t="s">
        <v>291</v>
      </c>
      <c r="F158" s="5" t="s">
        <v>309</v>
      </c>
      <c r="G158" s="5" t="s">
        <v>10</v>
      </c>
      <c r="H158" s="6">
        <v>1848</v>
      </c>
      <c r="I158" s="6">
        <v>3836.58</v>
      </c>
    </row>
    <row r="159" spans="1:9" outlineLevel="1" x14ac:dyDescent="0.4">
      <c r="A159" s="1">
        <v>11</v>
      </c>
      <c r="C159" s="5" t="s">
        <v>301</v>
      </c>
      <c r="D159" s="5" t="s">
        <v>310</v>
      </c>
      <c r="E159" s="5" t="s">
        <v>291</v>
      </c>
      <c r="F159" s="5" t="s">
        <v>311</v>
      </c>
      <c r="G159" s="5" t="s">
        <v>10</v>
      </c>
      <c r="H159" s="6">
        <v>1848</v>
      </c>
      <c r="I159" s="6">
        <v>3836.58</v>
      </c>
    </row>
    <row r="160" spans="1:9" outlineLevel="1" x14ac:dyDescent="0.4">
      <c r="A160" s="1">
        <v>11</v>
      </c>
      <c r="C160" s="5" t="s">
        <v>301</v>
      </c>
      <c r="D160" s="5" t="s">
        <v>312</v>
      </c>
      <c r="E160" s="5" t="s">
        <v>291</v>
      </c>
      <c r="F160" s="5" t="s">
        <v>313</v>
      </c>
      <c r="G160" s="5" t="s">
        <v>10</v>
      </c>
      <c r="H160" s="6">
        <v>1848</v>
      </c>
      <c r="I160" s="6">
        <v>3836.58</v>
      </c>
    </row>
    <row r="161" spans="1:9" outlineLevel="1" x14ac:dyDescent="0.4">
      <c r="A161" s="1">
        <v>11</v>
      </c>
      <c r="C161" s="5" t="s">
        <v>301</v>
      </c>
      <c r="D161" s="5" t="s">
        <v>314</v>
      </c>
      <c r="E161" s="5" t="s">
        <v>291</v>
      </c>
      <c r="F161" s="5" t="s">
        <v>315</v>
      </c>
      <c r="G161" s="5" t="s">
        <v>10</v>
      </c>
      <c r="H161" s="6">
        <v>1848</v>
      </c>
      <c r="I161" s="6">
        <v>3836.58</v>
      </c>
    </row>
    <row r="162" spans="1:9" outlineLevel="1" x14ac:dyDescent="0.4">
      <c r="A162" s="1">
        <v>11</v>
      </c>
      <c r="C162" s="5" t="s">
        <v>301</v>
      </c>
      <c r="D162" s="5" t="s">
        <v>316</v>
      </c>
      <c r="E162" s="5" t="s">
        <v>291</v>
      </c>
      <c r="F162" s="5" t="s">
        <v>317</v>
      </c>
      <c r="G162" s="5" t="s">
        <v>10</v>
      </c>
      <c r="H162" s="6">
        <v>1848</v>
      </c>
      <c r="I162" s="6">
        <v>3836.58</v>
      </c>
    </row>
    <row r="163" spans="1:9" outlineLevel="1" x14ac:dyDescent="0.4">
      <c r="A163" s="1">
        <v>11</v>
      </c>
      <c r="C163" s="5" t="s">
        <v>301</v>
      </c>
      <c r="D163" s="5" t="s">
        <v>318</v>
      </c>
      <c r="E163" s="5" t="s">
        <v>291</v>
      </c>
      <c r="F163" s="5" t="s">
        <v>319</v>
      </c>
      <c r="G163" s="5" t="s">
        <v>10</v>
      </c>
      <c r="H163" s="6">
        <v>1848</v>
      </c>
      <c r="I163" s="6">
        <v>3836.58</v>
      </c>
    </row>
    <row r="164" spans="1:9" outlineLevel="1" x14ac:dyDescent="0.4">
      <c r="A164" s="1">
        <v>11</v>
      </c>
      <c r="C164" s="5" t="s">
        <v>301</v>
      </c>
      <c r="D164" s="5" t="s">
        <v>320</v>
      </c>
      <c r="E164" s="5" t="s">
        <v>291</v>
      </c>
      <c r="F164" s="5" t="s">
        <v>321</v>
      </c>
      <c r="G164" s="5" t="s">
        <v>10</v>
      </c>
      <c r="H164" s="6">
        <v>1848</v>
      </c>
      <c r="I164" s="6">
        <v>3836.58</v>
      </c>
    </row>
    <row r="165" spans="1:9" outlineLevel="1" x14ac:dyDescent="0.4">
      <c r="A165" s="1">
        <v>11</v>
      </c>
      <c r="C165" s="5" t="s">
        <v>301</v>
      </c>
      <c r="D165" s="5" t="s">
        <v>322</v>
      </c>
      <c r="E165" s="5" t="s">
        <v>291</v>
      </c>
      <c r="F165" s="5" t="s">
        <v>323</v>
      </c>
      <c r="G165" s="5" t="s">
        <v>10</v>
      </c>
      <c r="H165" s="6">
        <v>1848</v>
      </c>
      <c r="I165" s="6">
        <v>3836.58</v>
      </c>
    </row>
    <row r="166" spans="1:9" outlineLevel="1" x14ac:dyDescent="0.4">
      <c r="A166" s="1">
        <v>11</v>
      </c>
      <c r="C166" s="5" t="s">
        <v>301</v>
      </c>
      <c r="D166" s="5" t="s">
        <v>324</v>
      </c>
      <c r="E166" s="5" t="s">
        <v>291</v>
      </c>
      <c r="F166" s="5" t="s">
        <v>325</v>
      </c>
      <c r="G166" s="5" t="s">
        <v>10</v>
      </c>
      <c r="H166" s="6">
        <v>1848</v>
      </c>
      <c r="I166" s="6">
        <v>3836.58</v>
      </c>
    </row>
    <row r="167" spans="1:9" outlineLevel="1" x14ac:dyDescent="0.4">
      <c r="A167" s="1">
        <v>11</v>
      </c>
      <c r="C167" s="5" t="s">
        <v>301</v>
      </c>
      <c r="D167" s="5" t="s">
        <v>326</v>
      </c>
      <c r="E167" s="5" t="s">
        <v>291</v>
      </c>
      <c r="F167" s="5" t="s">
        <v>327</v>
      </c>
      <c r="G167" s="5" t="s">
        <v>10</v>
      </c>
      <c r="H167" s="6">
        <v>1848</v>
      </c>
      <c r="I167" s="6">
        <v>3836.58</v>
      </c>
    </row>
    <row r="168" spans="1:9" outlineLevel="1" x14ac:dyDescent="0.4">
      <c r="A168" s="1">
        <v>11</v>
      </c>
      <c r="C168" s="5" t="s">
        <v>301</v>
      </c>
      <c r="D168" s="5" t="s">
        <v>328</v>
      </c>
      <c r="E168" s="5" t="s">
        <v>291</v>
      </c>
      <c r="F168" s="5" t="s">
        <v>329</v>
      </c>
      <c r="G168" s="5" t="s">
        <v>10</v>
      </c>
      <c r="H168" s="6">
        <v>1848</v>
      </c>
      <c r="I168" s="6">
        <v>3836.58</v>
      </c>
    </row>
    <row r="169" spans="1:9" outlineLevel="1" x14ac:dyDescent="0.4">
      <c r="A169" s="1">
        <v>11</v>
      </c>
      <c r="C169" s="5" t="s">
        <v>301</v>
      </c>
      <c r="D169" s="5" t="s">
        <v>330</v>
      </c>
      <c r="E169" s="5" t="s">
        <v>291</v>
      </c>
      <c r="F169" s="5" t="s">
        <v>331</v>
      </c>
      <c r="G169" s="5" t="s">
        <v>10</v>
      </c>
      <c r="H169" s="6">
        <v>2016</v>
      </c>
      <c r="I169" s="6">
        <v>4185.3599999999997</v>
      </c>
    </row>
    <row r="170" spans="1:9" outlineLevel="1" x14ac:dyDescent="0.4">
      <c r="A170" s="1">
        <v>11</v>
      </c>
      <c r="C170" s="5" t="s">
        <v>301</v>
      </c>
      <c r="D170" s="5" t="s">
        <v>332</v>
      </c>
      <c r="E170" s="5" t="s">
        <v>291</v>
      </c>
      <c r="F170" s="5" t="s">
        <v>333</v>
      </c>
      <c r="G170" s="5" t="s">
        <v>10</v>
      </c>
      <c r="H170" s="6">
        <v>1848</v>
      </c>
      <c r="I170" s="6">
        <v>3836.58</v>
      </c>
    </row>
    <row r="171" spans="1:9" outlineLevel="1" x14ac:dyDescent="0.4">
      <c r="A171" s="1">
        <v>11</v>
      </c>
      <c r="C171" s="5" t="s">
        <v>301</v>
      </c>
      <c r="D171" s="5" t="s">
        <v>334</v>
      </c>
      <c r="E171" s="5" t="s">
        <v>291</v>
      </c>
      <c r="F171" s="5" t="s">
        <v>335</v>
      </c>
      <c r="G171" s="5" t="s">
        <v>10</v>
      </c>
      <c r="H171" s="6">
        <v>1848</v>
      </c>
      <c r="I171" s="6">
        <v>3836.58</v>
      </c>
    </row>
    <row r="172" spans="1:9" outlineLevel="1" x14ac:dyDescent="0.4">
      <c r="A172" s="1">
        <v>11</v>
      </c>
      <c r="C172" s="5" t="s">
        <v>301</v>
      </c>
      <c r="D172" s="5" t="s">
        <v>336</v>
      </c>
      <c r="E172" s="5" t="s">
        <v>291</v>
      </c>
      <c r="F172" s="5" t="s">
        <v>337</v>
      </c>
      <c r="G172" s="5" t="s">
        <v>10</v>
      </c>
      <c r="H172" s="6">
        <v>1848</v>
      </c>
      <c r="I172" s="6">
        <v>3836.58</v>
      </c>
    </row>
    <row r="173" spans="1:9" outlineLevel="1" x14ac:dyDescent="0.4">
      <c r="A173" s="1">
        <v>11</v>
      </c>
      <c r="C173" s="5" t="s">
        <v>301</v>
      </c>
      <c r="D173" s="5" t="s">
        <v>338</v>
      </c>
      <c r="E173" s="5" t="s">
        <v>291</v>
      </c>
      <c r="F173" s="5" t="s">
        <v>339</v>
      </c>
      <c r="G173" s="5" t="s">
        <v>10</v>
      </c>
      <c r="H173" s="6">
        <v>1848</v>
      </c>
      <c r="I173" s="6">
        <v>3836.58</v>
      </c>
    </row>
    <row r="174" spans="1:9" outlineLevel="1" x14ac:dyDescent="0.4">
      <c r="A174" s="1">
        <v>11</v>
      </c>
      <c r="C174" s="5" t="s">
        <v>340</v>
      </c>
      <c r="D174" s="5" t="s">
        <v>341</v>
      </c>
      <c r="E174" s="5" t="s">
        <v>291</v>
      </c>
      <c r="F174" s="5" t="s">
        <v>342</v>
      </c>
      <c r="G174" s="5" t="s">
        <v>10</v>
      </c>
      <c r="H174" s="6">
        <v>1848</v>
      </c>
      <c r="I174" s="6">
        <v>3836.58</v>
      </c>
    </row>
    <row r="175" spans="1:9" outlineLevel="1" x14ac:dyDescent="0.4">
      <c r="A175" s="1">
        <v>11</v>
      </c>
      <c r="C175" s="5" t="s">
        <v>340</v>
      </c>
      <c r="D175" s="5" t="s">
        <v>343</v>
      </c>
      <c r="E175" s="5" t="s">
        <v>291</v>
      </c>
      <c r="F175" s="5" t="s">
        <v>344</v>
      </c>
      <c r="G175" s="5" t="s">
        <v>10</v>
      </c>
      <c r="H175" s="6">
        <v>1848</v>
      </c>
      <c r="I175" s="6">
        <v>3836.58</v>
      </c>
    </row>
    <row r="176" spans="1:9" outlineLevel="1" x14ac:dyDescent="0.4">
      <c r="A176" s="1">
        <v>11</v>
      </c>
      <c r="C176" s="5" t="s">
        <v>340</v>
      </c>
      <c r="D176" s="5" t="s">
        <v>345</v>
      </c>
      <c r="E176" s="5" t="s">
        <v>291</v>
      </c>
      <c r="F176" s="5" t="s">
        <v>346</v>
      </c>
      <c r="G176" s="5" t="s">
        <v>10</v>
      </c>
      <c r="H176" s="6">
        <v>1848</v>
      </c>
      <c r="I176" s="6">
        <v>3836.58</v>
      </c>
    </row>
    <row r="177" spans="1:9" outlineLevel="1" x14ac:dyDescent="0.4">
      <c r="A177" s="1">
        <v>11</v>
      </c>
      <c r="C177" s="5" t="s">
        <v>340</v>
      </c>
      <c r="D177" s="5" t="s">
        <v>347</v>
      </c>
      <c r="E177" s="5" t="s">
        <v>291</v>
      </c>
      <c r="F177" s="5" t="s">
        <v>348</v>
      </c>
      <c r="G177" s="5" t="s">
        <v>10</v>
      </c>
      <c r="H177" s="6">
        <v>1848</v>
      </c>
      <c r="I177" s="6">
        <v>3836.58</v>
      </c>
    </row>
    <row r="178" spans="1:9" outlineLevel="1" x14ac:dyDescent="0.4">
      <c r="A178" s="1">
        <v>11</v>
      </c>
      <c r="C178" s="5" t="s">
        <v>340</v>
      </c>
      <c r="D178" s="5" t="s">
        <v>349</v>
      </c>
      <c r="E178" s="5" t="s">
        <v>291</v>
      </c>
      <c r="F178" s="5" t="s">
        <v>350</v>
      </c>
      <c r="G178" s="5" t="s">
        <v>10</v>
      </c>
      <c r="H178" s="6">
        <v>1848</v>
      </c>
      <c r="I178" s="6">
        <v>3836.58</v>
      </c>
    </row>
    <row r="179" spans="1:9" outlineLevel="1" x14ac:dyDescent="0.4">
      <c r="A179" s="1">
        <v>11</v>
      </c>
      <c r="C179" s="5" t="s">
        <v>340</v>
      </c>
      <c r="D179" s="5" t="s">
        <v>351</v>
      </c>
      <c r="E179" s="5" t="s">
        <v>291</v>
      </c>
      <c r="F179" s="5" t="s">
        <v>352</v>
      </c>
      <c r="G179" s="5" t="s">
        <v>10</v>
      </c>
      <c r="H179" s="6">
        <v>1848</v>
      </c>
      <c r="I179" s="6">
        <v>3836.58</v>
      </c>
    </row>
    <row r="180" spans="1:9" outlineLevel="1" x14ac:dyDescent="0.4">
      <c r="A180" s="1">
        <v>11</v>
      </c>
      <c r="C180" s="5" t="s">
        <v>340</v>
      </c>
      <c r="D180" s="5" t="s">
        <v>353</v>
      </c>
      <c r="E180" s="5" t="s">
        <v>291</v>
      </c>
      <c r="F180" s="5" t="s">
        <v>354</v>
      </c>
      <c r="G180" s="5" t="s">
        <v>10</v>
      </c>
      <c r="H180" s="6">
        <v>2016</v>
      </c>
      <c r="I180" s="6">
        <v>4185.3599999999997</v>
      </c>
    </row>
    <row r="181" spans="1:9" outlineLevel="1" x14ac:dyDescent="0.4">
      <c r="A181" s="1">
        <v>11</v>
      </c>
      <c r="C181" s="5" t="s">
        <v>340</v>
      </c>
      <c r="D181" s="5" t="s">
        <v>355</v>
      </c>
      <c r="E181" s="5" t="s">
        <v>291</v>
      </c>
      <c r="F181" s="5" t="s">
        <v>356</v>
      </c>
      <c r="G181" s="5" t="s">
        <v>10</v>
      </c>
      <c r="H181" s="6">
        <v>1848</v>
      </c>
      <c r="I181" s="6">
        <v>3836.58</v>
      </c>
    </row>
    <row r="182" spans="1:9" outlineLevel="1" x14ac:dyDescent="0.4">
      <c r="A182" s="1">
        <v>11</v>
      </c>
      <c r="C182" s="5" t="s">
        <v>340</v>
      </c>
      <c r="D182" s="5" t="s">
        <v>357</v>
      </c>
      <c r="E182" s="5" t="s">
        <v>291</v>
      </c>
      <c r="F182" s="5" t="s">
        <v>358</v>
      </c>
      <c r="G182" s="5" t="s">
        <v>10</v>
      </c>
      <c r="H182" s="6">
        <v>1848</v>
      </c>
      <c r="I182" s="6">
        <v>3836.58</v>
      </c>
    </row>
    <row r="183" spans="1:9" outlineLevel="1" x14ac:dyDescent="0.4">
      <c r="A183" s="1">
        <v>11</v>
      </c>
      <c r="C183" s="5" t="s">
        <v>340</v>
      </c>
      <c r="D183" s="5" t="s">
        <v>359</v>
      </c>
      <c r="E183" s="5" t="s">
        <v>291</v>
      </c>
      <c r="F183" s="5" t="s">
        <v>360</v>
      </c>
      <c r="G183" s="5" t="s">
        <v>10</v>
      </c>
      <c r="H183" s="6">
        <v>1848</v>
      </c>
      <c r="I183" s="6">
        <v>3836.58</v>
      </c>
    </row>
    <row r="184" spans="1:9" outlineLevel="1" x14ac:dyDescent="0.4">
      <c r="A184" s="1">
        <v>11</v>
      </c>
      <c r="C184" s="5" t="s">
        <v>340</v>
      </c>
      <c r="D184" s="5" t="s">
        <v>361</v>
      </c>
      <c r="E184" s="5" t="s">
        <v>291</v>
      </c>
      <c r="F184" s="5" t="s">
        <v>362</v>
      </c>
      <c r="G184" s="5" t="s">
        <v>10</v>
      </c>
      <c r="H184" s="6">
        <v>1848</v>
      </c>
      <c r="I184" s="6">
        <v>3836.58</v>
      </c>
    </row>
    <row r="185" spans="1:9" outlineLevel="1" x14ac:dyDescent="0.4">
      <c r="A185" s="1">
        <v>11</v>
      </c>
      <c r="C185" s="5" t="s">
        <v>340</v>
      </c>
      <c r="D185" s="5" t="s">
        <v>363</v>
      </c>
      <c r="E185" s="5" t="s">
        <v>291</v>
      </c>
      <c r="F185" s="5" t="s">
        <v>364</v>
      </c>
      <c r="G185" s="5" t="s">
        <v>10</v>
      </c>
      <c r="H185" s="6">
        <v>1848</v>
      </c>
      <c r="I185" s="6">
        <v>3836.58</v>
      </c>
    </row>
    <row r="186" spans="1:9" outlineLevel="1" x14ac:dyDescent="0.4">
      <c r="A186" s="1">
        <v>11</v>
      </c>
      <c r="C186" s="5" t="s">
        <v>365</v>
      </c>
      <c r="D186" s="5" t="s">
        <v>366</v>
      </c>
      <c r="E186" s="5" t="s">
        <v>291</v>
      </c>
      <c r="F186" s="5" t="s">
        <v>367</v>
      </c>
      <c r="G186" s="5" t="s">
        <v>10</v>
      </c>
      <c r="H186" s="6">
        <v>1848</v>
      </c>
      <c r="I186" s="6">
        <v>3836.58</v>
      </c>
    </row>
    <row r="187" spans="1:9" outlineLevel="1" x14ac:dyDescent="0.4">
      <c r="A187" s="1">
        <v>11</v>
      </c>
      <c r="C187" s="5" t="s">
        <v>365</v>
      </c>
      <c r="D187" s="5" t="s">
        <v>368</v>
      </c>
      <c r="E187" s="5" t="s">
        <v>291</v>
      </c>
      <c r="F187" s="5" t="s">
        <v>369</v>
      </c>
      <c r="G187" s="5" t="s">
        <v>10</v>
      </c>
      <c r="H187" s="6">
        <v>1848</v>
      </c>
      <c r="I187" s="6">
        <v>3836.58</v>
      </c>
    </row>
    <row r="188" spans="1:9" outlineLevel="1" x14ac:dyDescent="0.4">
      <c r="A188" s="1">
        <v>11</v>
      </c>
      <c r="C188" s="5" t="s">
        <v>365</v>
      </c>
      <c r="D188" s="5" t="s">
        <v>370</v>
      </c>
      <c r="E188" s="5" t="s">
        <v>291</v>
      </c>
      <c r="F188" s="5" t="s">
        <v>371</v>
      </c>
      <c r="G188" s="5" t="s">
        <v>10</v>
      </c>
      <c r="H188" s="6">
        <v>1848</v>
      </c>
      <c r="I188" s="6">
        <v>3836.58</v>
      </c>
    </row>
    <row r="189" spans="1:9" outlineLevel="1" x14ac:dyDescent="0.4">
      <c r="A189" s="1">
        <v>11</v>
      </c>
      <c r="C189" s="5" t="s">
        <v>365</v>
      </c>
      <c r="D189" s="5" t="s">
        <v>372</v>
      </c>
      <c r="E189" s="5" t="s">
        <v>291</v>
      </c>
      <c r="F189" s="5" t="s">
        <v>373</v>
      </c>
      <c r="G189" s="5" t="s">
        <v>10</v>
      </c>
      <c r="H189" s="6">
        <v>1848</v>
      </c>
      <c r="I189" s="6">
        <v>3836.58</v>
      </c>
    </row>
    <row r="190" spans="1:9" outlineLevel="1" x14ac:dyDescent="0.4">
      <c r="A190" s="1">
        <v>11</v>
      </c>
      <c r="C190" s="5" t="s">
        <v>365</v>
      </c>
      <c r="D190" s="5" t="s">
        <v>374</v>
      </c>
      <c r="E190" s="5" t="s">
        <v>291</v>
      </c>
      <c r="F190" s="5" t="s">
        <v>375</v>
      </c>
      <c r="G190" s="5" t="s">
        <v>10</v>
      </c>
      <c r="H190" s="6">
        <v>1848</v>
      </c>
      <c r="I190" s="6">
        <v>3836.58</v>
      </c>
    </row>
    <row r="191" spans="1:9" outlineLevel="1" x14ac:dyDescent="0.4">
      <c r="A191" s="1">
        <v>11</v>
      </c>
      <c r="C191" s="5" t="s">
        <v>365</v>
      </c>
      <c r="D191" s="5" t="s">
        <v>376</v>
      </c>
      <c r="E191" s="5" t="s">
        <v>291</v>
      </c>
      <c r="F191" s="5" t="s">
        <v>377</v>
      </c>
      <c r="G191" s="5" t="s">
        <v>10</v>
      </c>
      <c r="H191" s="6">
        <v>1848</v>
      </c>
      <c r="I191" s="6">
        <v>3836.58</v>
      </c>
    </row>
    <row r="192" spans="1:9" outlineLevel="1" x14ac:dyDescent="0.4">
      <c r="A192" s="1">
        <v>11</v>
      </c>
      <c r="C192" s="5" t="s">
        <v>365</v>
      </c>
      <c r="D192" s="5" t="s">
        <v>378</v>
      </c>
      <c r="E192" s="5" t="s">
        <v>291</v>
      </c>
      <c r="F192" s="5" t="s">
        <v>379</v>
      </c>
      <c r="G192" s="5" t="s">
        <v>10</v>
      </c>
      <c r="H192" s="6">
        <v>1848</v>
      </c>
      <c r="I192" s="6">
        <v>3836.58</v>
      </c>
    </row>
    <row r="193" spans="1:9" outlineLevel="1" x14ac:dyDescent="0.4">
      <c r="A193" s="1">
        <v>11</v>
      </c>
      <c r="C193" s="5" t="s">
        <v>365</v>
      </c>
      <c r="D193" s="5" t="s">
        <v>380</v>
      </c>
      <c r="E193" s="5" t="s">
        <v>291</v>
      </c>
      <c r="F193" s="5" t="s">
        <v>381</v>
      </c>
      <c r="G193" s="5" t="s">
        <v>10</v>
      </c>
      <c r="H193" s="6">
        <v>1848</v>
      </c>
      <c r="I193" s="6">
        <v>3836.58</v>
      </c>
    </row>
    <row r="194" spans="1:9" outlineLevel="1" x14ac:dyDescent="0.4">
      <c r="A194" s="1">
        <v>11</v>
      </c>
      <c r="C194" s="5" t="s">
        <v>365</v>
      </c>
      <c r="D194" s="5" t="s">
        <v>382</v>
      </c>
      <c r="E194" s="5" t="s">
        <v>291</v>
      </c>
      <c r="F194" s="5" t="s">
        <v>383</v>
      </c>
      <c r="G194" s="5" t="s">
        <v>10</v>
      </c>
      <c r="H194" s="6">
        <v>1848</v>
      </c>
      <c r="I194" s="6">
        <v>3836.58</v>
      </c>
    </row>
    <row r="195" spans="1:9" outlineLevel="1" x14ac:dyDescent="0.4">
      <c r="A195" s="1">
        <v>11</v>
      </c>
      <c r="C195" s="5" t="s">
        <v>365</v>
      </c>
      <c r="D195" s="5" t="s">
        <v>384</v>
      </c>
      <c r="E195" s="5" t="s">
        <v>291</v>
      </c>
      <c r="F195" s="5" t="s">
        <v>385</v>
      </c>
      <c r="G195" s="5" t="s">
        <v>10</v>
      </c>
      <c r="H195" s="6">
        <v>1848</v>
      </c>
      <c r="I195" s="6">
        <v>3836.58</v>
      </c>
    </row>
    <row r="196" spans="1:9" outlineLevel="1" x14ac:dyDescent="0.4">
      <c r="A196" s="1">
        <v>11</v>
      </c>
      <c r="C196" s="5" t="s">
        <v>365</v>
      </c>
      <c r="D196" s="5" t="s">
        <v>386</v>
      </c>
      <c r="E196" s="5" t="s">
        <v>291</v>
      </c>
      <c r="F196" s="5" t="s">
        <v>387</v>
      </c>
      <c r="G196" s="5" t="s">
        <v>10</v>
      </c>
      <c r="H196" s="6">
        <v>1848</v>
      </c>
      <c r="I196" s="6">
        <v>3836.58</v>
      </c>
    </row>
    <row r="197" spans="1:9" outlineLevel="1" x14ac:dyDescent="0.4">
      <c r="A197" s="1">
        <v>11</v>
      </c>
      <c r="C197" s="5" t="s">
        <v>365</v>
      </c>
      <c r="D197" s="5" t="s">
        <v>388</v>
      </c>
      <c r="E197" s="5" t="s">
        <v>291</v>
      </c>
      <c r="F197" s="5" t="s">
        <v>389</v>
      </c>
      <c r="G197" s="5" t="s">
        <v>10</v>
      </c>
      <c r="H197" s="6">
        <v>1848</v>
      </c>
      <c r="I197" s="6">
        <v>3836.58</v>
      </c>
    </row>
    <row r="198" spans="1:9" outlineLevel="1" x14ac:dyDescent="0.4">
      <c r="A198" s="1">
        <v>11</v>
      </c>
      <c r="C198" s="5" t="s">
        <v>365</v>
      </c>
      <c r="D198" s="5" t="s">
        <v>390</v>
      </c>
      <c r="E198" s="5" t="s">
        <v>291</v>
      </c>
      <c r="F198" s="5" t="s">
        <v>391</v>
      </c>
      <c r="G198" s="5" t="s">
        <v>10</v>
      </c>
      <c r="H198" s="6">
        <v>1848</v>
      </c>
      <c r="I198" s="6">
        <v>3836.58</v>
      </c>
    </row>
    <row r="199" spans="1:9" outlineLevel="1" x14ac:dyDescent="0.4">
      <c r="A199" s="1">
        <v>11</v>
      </c>
      <c r="C199" s="5" t="s">
        <v>365</v>
      </c>
      <c r="D199" s="5" t="s">
        <v>392</v>
      </c>
      <c r="E199" s="5" t="s">
        <v>291</v>
      </c>
      <c r="F199" s="5" t="s">
        <v>393</v>
      </c>
      <c r="G199" s="5" t="s">
        <v>10</v>
      </c>
      <c r="H199" s="6">
        <v>1848</v>
      </c>
      <c r="I199" s="6">
        <v>3836.58</v>
      </c>
    </row>
    <row r="200" spans="1:9" outlineLevel="1" x14ac:dyDescent="0.4">
      <c r="A200" s="1">
        <v>11</v>
      </c>
      <c r="C200" s="5" t="s">
        <v>365</v>
      </c>
      <c r="D200" s="5" t="s">
        <v>394</v>
      </c>
      <c r="E200" s="5" t="s">
        <v>291</v>
      </c>
      <c r="F200" s="5" t="s">
        <v>395</v>
      </c>
      <c r="G200" s="5" t="s">
        <v>10</v>
      </c>
      <c r="H200" s="6">
        <v>1848</v>
      </c>
      <c r="I200" s="6">
        <v>3836.58</v>
      </c>
    </row>
    <row r="201" spans="1:9" outlineLevel="1" x14ac:dyDescent="0.4">
      <c r="A201" s="1">
        <v>11</v>
      </c>
      <c r="C201" s="5" t="s">
        <v>81</v>
      </c>
      <c r="D201" s="5" t="s">
        <v>396</v>
      </c>
      <c r="E201" s="5" t="s">
        <v>291</v>
      </c>
      <c r="F201" s="5" t="s">
        <v>397</v>
      </c>
      <c r="G201" s="5" t="s">
        <v>10</v>
      </c>
      <c r="H201" s="6">
        <v>1848</v>
      </c>
      <c r="I201" s="6">
        <v>3836.58</v>
      </c>
    </row>
    <row r="202" spans="1:9" outlineLevel="1" x14ac:dyDescent="0.4">
      <c r="A202" s="1">
        <v>11</v>
      </c>
      <c r="C202" s="5" t="s">
        <v>81</v>
      </c>
      <c r="D202" s="5" t="s">
        <v>398</v>
      </c>
      <c r="E202" s="5" t="s">
        <v>291</v>
      </c>
      <c r="F202" s="5" t="s">
        <v>399</v>
      </c>
      <c r="G202" s="5" t="s">
        <v>10</v>
      </c>
      <c r="H202" s="6">
        <v>1848</v>
      </c>
      <c r="I202" s="6">
        <v>3836.58</v>
      </c>
    </row>
    <row r="203" spans="1:9" outlineLevel="1" x14ac:dyDescent="0.4">
      <c r="A203" s="1">
        <v>11</v>
      </c>
      <c r="C203" s="5" t="s">
        <v>81</v>
      </c>
      <c r="D203" s="5" t="s">
        <v>400</v>
      </c>
      <c r="E203" s="5" t="s">
        <v>291</v>
      </c>
      <c r="F203" s="5" t="s">
        <v>401</v>
      </c>
      <c r="G203" s="5" t="s">
        <v>10</v>
      </c>
      <c r="H203" s="6">
        <v>1848</v>
      </c>
      <c r="I203" s="6">
        <v>3836.58</v>
      </c>
    </row>
    <row r="204" spans="1:9" outlineLevel="1" x14ac:dyDescent="0.4">
      <c r="A204" s="1">
        <v>11</v>
      </c>
      <c r="C204" s="5" t="s">
        <v>81</v>
      </c>
      <c r="D204" s="5" t="s">
        <v>402</v>
      </c>
      <c r="E204" s="5" t="s">
        <v>291</v>
      </c>
      <c r="F204" s="5" t="s">
        <v>403</v>
      </c>
      <c r="G204" s="5" t="s">
        <v>10</v>
      </c>
      <c r="H204" s="6">
        <v>1848</v>
      </c>
      <c r="I204" s="6">
        <v>3836.58</v>
      </c>
    </row>
    <row r="205" spans="1:9" outlineLevel="1" x14ac:dyDescent="0.4">
      <c r="A205" s="1">
        <v>11</v>
      </c>
      <c r="C205" s="5" t="s">
        <v>81</v>
      </c>
      <c r="D205" s="5" t="s">
        <v>404</v>
      </c>
      <c r="E205" s="5" t="s">
        <v>291</v>
      </c>
      <c r="F205" s="5" t="s">
        <v>405</v>
      </c>
      <c r="G205" s="5" t="s">
        <v>10</v>
      </c>
      <c r="H205" s="6">
        <v>1848</v>
      </c>
      <c r="I205" s="6">
        <v>3836.58</v>
      </c>
    </row>
    <row r="206" spans="1:9" outlineLevel="1" x14ac:dyDescent="0.4">
      <c r="A206" s="1">
        <v>11</v>
      </c>
      <c r="C206" s="5" t="s">
        <v>81</v>
      </c>
      <c r="D206" s="5" t="s">
        <v>406</v>
      </c>
      <c r="E206" s="5" t="s">
        <v>291</v>
      </c>
      <c r="F206" s="5" t="s">
        <v>407</v>
      </c>
      <c r="G206" s="5" t="s">
        <v>10</v>
      </c>
      <c r="H206" s="6">
        <v>1848</v>
      </c>
      <c r="I206" s="6">
        <v>3836.58</v>
      </c>
    </row>
    <row r="207" spans="1:9" outlineLevel="1" x14ac:dyDescent="0.4">
      <c r="A207" s="1">
        <v>11</v>
      </c>
      <c r="C207" s="5" t="s">
        <v>81</v>
      </c>
      <c r="D207" s="5" t="s">
        <v>408</v>
      </c>
      <c r="E207" s="5" t="s">
        <v>291</v>
      </c>
      <c r="F207" s="5" t="s">
        <v>409</v>
      </c>
      <c r="G207" s="5" t="s">
        <v>10</v>
      </c>
      <c r="H207" s="6">
        <v>1848</v>
      </c>
      <c r="I207" s="6">
        <v>3836.58</v>
      </c>
    </row>
    <row r="208" spans="1:9" outlineLevel="1" x14ac:dyDescent="0.4">
      <c r="A208" s="1">
        <v>11</v>
      </c>
      <c r="C208" s="5" t="s">
        <v>81</v>
      </c>
      <c r="D208" s="5" t="s">
        <v>410</v>
      </c>
      <c r="E208" s="5" t="s">
        <v>291</v>
      </c>
      <c r="F208" s="5" t="s">
        <v>411</v>
      </c>
      <c r="G208" s="5" t="s">
        <v>10</v>
      </c>
      <c r="H208" s="6">
        <v>1848</v>
      </c>
      <c r="I208" s="6">
        <v>3836.58</v>
      </c>
    </row>
    <row r="209" spans="1:9" outlineLevel="1" x14ac:dyDescent="0.4">
      <c r="A209" s="1">
        <v>11</v>
      </c>
      <c r="C209" s="5" t="s">
        <v>81</v>
      </c>
      <c r="D209" s="5" t="s">
        <v>412</v>
      </c>
      <c r="E209" s="5" t="s">
        <v>291</v>
      </c>
      <c r="F209" s="5" t="s">
        <v>413</v>
      </c>
      <c r="G209" s="5" t="s">
        <v>10</v>
      </c>
      <c r="H209" s="6">
        <v>1848</v>
      </c>
      <c r="I209" s="6">
        <v>3836.58</v>
      </c>
    </row>
    <row r="210" spans="1:9" outlineLevel="1" x14ac:dyDescent="0.4">
      <c r="A210" s="1">
        <v>11</v>
      </c>
      <c r="C210" s="5" t="s">
        <v>81</v>
      </c>
      <c r="D210" s="5" t="s">
        <v>414</v>
      </c>
      <c r="E210" s="5" t="s">
        <v>291</v>
      </c>
      <c r="F210" s="5" t="s">
        <v>415</v>
      </c>
      <c r="G210" s="5" t="s">
        <v>10</v>
      </c>
      <c r="H210" s="6">
        <v>1848</v>
      </c>
      <c r="I210" s="6">
        <v>3836.58</v>
      </c>
    </row>
    <row r="211" spans="1:9" outlineLevel="1" x14ac:dyDescent="0.4">
      <c r="A211" s="1">
        <v>11</v>
      </c>
      <c r="C211" s="5" t="s">
        <v>81</v>
      </c>
      <c r="D211" s="5" t="s">
        <v>416</v>
      </c>
      <c r="E211" s="5" t="s">
        <v>291</v>
      </c>
      <c r="F211" s="5" t="s">
        <v>417</v>
      </c>
      <c r="G211" s="5" t="s">
        <v>10</v>
      </c>
      <c r="H211" s="6">
        <v>1848</v>
      </c>
      <c r="I211" s="6">
        <v>3836.58</v>
      </c>
    </row>
    <row r="212" spans="1:9" outlineLevel="1" x14ac:dyDescent="0.4">
      <c r="A212" s="1">
        <v>11</v>
      </c>
      <c r="C212" s="5" t="s">
        <v>81</v>
      </c>
      <c r="D212" s="5" t="s">
        <v>418</v>
      </c>
      <c r="E212" s="5" t="s">
        <v>291</v>
      </c>
      <c r="F212" s="5" t="s">
        <v>419</v>
      </c>
      <c r="G212" s="5" t="s">
        <v>10</v>
      </c>
      <c r="H212" s="6">
        <v>1848</v>
      </c>
      <c r="I212" s="6">
        <v>3836.58</v>
      </c>
    </row>
    <row r="213" spans="1:9" outlineLevel="1" x14ac:dyDescent="0.4">
      <c r="A213" s="1">
        <v>11</v>
      </c>
      <c r="C213" s="5" t="s">
        <v>211</v>
      </c>
      <c r="D213" s="5" t="s">
        <v>420</v>
      </c>
      <c r="E213" s="5" t="s">
        <v>291</v>
      </c>
      <c r="F213" s="5" t="s">
        <v>421</v>
      </c>
      <c r="G213" s="5" t="s">
        <v>290</v>
      </c>
      <c r="H213" s="6">
        <v>1848</v>
      </c>
      <c r="I213" s="6">
        <v>4250.3999999999996</v>
      </c>
    </row>
    <row r="214" spans="1:9" x14ac:dyDescent="0.4">
      <c r="A214" s="7"/>
      <c r="B214" s="7"/>
      <c r="H214" s="12">
        <v>112896</v>
      </c>
      <c r="I214" s="11">
        <f>I152+I153+I154+I155+I156+I157+I158+I159+I160+I161+I162+I163+I164+I165+I166+I167+I168+I169+I170+I171+I172+I173+I174+I175+I176+I177+I178+I179+I180+I181+I182+I183+I184+I185+I186+I187+I188+I189+I190+I191+I192+I193+I194+I195+I196+I197+I198+I199+I200+I201+I202+I203+I204+I205+I206+I207+I208+I209+I210+I211+I212+I213</f>
        <v>235583.99999999971</v>
      </c>
    </row>
    <row r="215" spans="1:9" x14ac:dyDescent="0.4">
      <c r="A215" s="4"/>
      <c r="B215" s="4"/>
    </row>
    <row r="216" spans="1:9" outlineLevel="1" x14ac:dyDescent="0.4">
      <c r="A216" s="1">
        <v>11</v>
      </c>
      <c r="C216" s="5" t="s">
        <v>134</v>
      </c>
      <c r="D216" s="5" t="s">
        <v>423</v>
      </c>
      <c r="E216" s="5" t="s">
        <v>422</v>
      </c>
      <c r="F216" s="5" t="s">
        <v>424</v>
      </c>
      <c r="G216" s="5" t="s">
        <v>10</v>
      </c>
      <c r="H216" s="6">
        <v>1056</v>
      </c>
      <c r="I216" s="6">
        <v>3505.7</v>
      </c>
    </row>
    <row r="217" spans="1:9" outlineLevel="1" x14ac:dyDescent="0.4">
      <c r="A217" s="1">
        <v>11</v>
      </c>
      <c r="C217" s="5" t="s">
        <v>134</v>
      </c>
      <c r="D217" s="5" t="s">
        <v>425</v>
      </c>
      <c r="E217" s="5" t="s">
        <v>422</v>
      </c>
      <c r="F217" s="5" t="s">
        <v>426</v>
      </c>
      <c r="G217" s="5" t="s">
        <v>10</v>
      </c>
      <c r="H217" s="6">
        <v>1056</v>
      </c>
      <c r="I217" s="6">
        <v>3505.7</v>
      </c>
    </row>
    <row r="218" spans="1:9" outlineLevel="1" x14ac:dyDescent="0.4">
      <c r="A218" s="1">
        <v>11</v>
      </c>
      <c r="C218" s="5" t="s">
        <v>134</v>
      </c>
      <c r="D218" s="5" t="s">
        <v>427</v>
      </c>
      <c r="E218" s="5" t="s">
        <v>422</v>
      </c>
      <c r="F218" s="5" t="s">
        <v>428</v>
      </c>
      <c r="G218" s="5" t="s">
        <v>10</v>
      </c>
      <c r="H218" s="6">
        <v>1056</v>
      </c>
      <c r="I218" s="6">
        <v>3505.7</v>
      </c>
    </row>
    <row r="219" spans="1:9" outlineLevel="1" x14ac:dyDescent="0.4">
      <c r="A219" s="1">
        <v>11</v>
      </c>
      <c r="C219" s="5" t="s">
        <v>429</v>
      </c>
      <c r="D219" s="5" t="s">
        <v>430</v>
      </c>
      <c r="E219" s="5" t="s">
        <v>422</v>
      </c>
      <c r="F219" s="5" t="s">
        <v>431</v>
      </c>
      <c r="G219" s="5" t="s">
        <v>10</v>
      </c>
      <c r="H219" s="6">
        <v>1056</v>
      </c>
      <c r="I219" s="6">
        <v>3505.7</v>
      </c>
    </row>
    <row r="220" spans="1:9" outlineLevel="1" x14ac:dyDescent="0.4">
      <c r="A220" s="1">
        <v>11</v>
      </c>
      <c r="C220" s="5" t="s">
        <v>429</v>
      </c>
      <c r="D220" s="5" t="s">
        <v>432</v>
      </c>
      <c r="E220" s="5" t="s">
        <v>422</v>
      </c>
      <c r="F220" s="5" t="s">
        <v>433</v>
      </c>
      <c r="G220" s="5" t="s">
        <v>10</v>
      </c>
      <c r="H220" s="6">
        <v>1056</v>
      </c>
      <c r="I220" s="6">
        <v>3505.7</v>
      </c>
    </row>
    <row r="221" spans="1:9" outlineLevel="1" x14ac:dyDescent="0.4">
      <c r="A221" s="1">
        <v>11</v>
      </c>
      <c r="C221" s="5" t="s">
        <v>429</v>
      </c>
      <c r="D221" s="5" t="s">
        <v>434</v>
      </c>
      <c r="E221" s="5" t="s">
        <v>422</v>
      </c>
      <c r="F221" s="5" t="s">
        <v>435</v>
      </c>
      <c r="G221" s="5" t="s">
        <v>10</v>
      </c>
      <c r="H221" s="6">
        <v>1056</v>
      </c>
      <c r="I221" s="6">
        <v>3505.7</v>
      </c>
    </row>
    <row r="222" spans="1:9" outlineLevel="1" x14ac:dyDescent="0.4">
      <c r="A222" s="1">
        <v>11</v>
      </c>
      <c r="C222" s="5" t="s">
        <v>429</v>
      </c>
      <c r="D222" s="5" t="s">
        <v>436</v>
      </c>
      <c r="E222" s="5" t="s">
        <v>422</v>
      </c>
      <c r="F222" s="5" t="s">
        <v>437</v>
      </c>
      <c r="G222" s="5" t="s">
        <v>10</v>
      </c>
      <c r="H222" s="6">
        <v>1056</v>
      </c>
      <c r="I222" s="6">
        <v>3505.7</v>
      </c>
    </row>
    <row r="223" spans="1:9" outlineLevel="1" x14ac:dyDescent="0.4">
      <c r="A223" s="1">
        <v>11</v>
      </c>
      <c r="C223" s="5" t="s">
        <v>429</v>
      </c>
      <c r="D223" s="5" t="s">
        <v>438</v>
      </c>
      <c r="E223" s="5" t="s">
        <v>422</v>
      </c>
      <c r="F223" s="5" t="s">
        <v>439</v>
      </c>
      <c r="G223" s="5" t="s">
        <v>10</v>
      </c>
      <c r="H223" s="6">
        <v>1056</v>
      </c>
      <c r="I223" s="6">
        <v>3505.7</v>
      </c>
    </row>
    <row r="224" spans="1:9" outlineLevel="1" x14ac:dyDescent="0.4">
      <c r="A224" s="1">
        <v>11</v>
      </c>
      <c r="C224" s="5" t="s">
        <v>429</v>
      </c>
      <c r="D224" s="5" t="s">
        <v>440</v>
      </c>
      <c r="E224" s="5" t="s">
        <v>422</v>
      </c>
      <c r="F224" s="5" t="s">
        <v>441</v>
      </c>
      <c r="G224" s="5" t="s">
        <v>10</v>
      </c>
      <c r="H224" s="6">
        <v>1056</v>
      </c>
      <c r="I224" s="6">
        <v>3505.7</v>
      </c>
    </row>
    <row r="225" spans="1:9" outlineLevel="1" x14ac:dyDescent="0.4">
      <c r="A225" s="1">
        <v>11</v>
      </c>
      <c r="C225" s="5" t="s">
        <v>429</v>
      </c>
      <c r="D225" s="5" t="s">
        <v>442</v>
      </c>
      <c r="E225" s="5" t="s">
        <v>422</v>
      </c>
      <c r="F225" s="5" t="s">
        <v>443</v>
      </c>
      <c r="G225" s="5" t="s">
        <v>10</v>
      </c>
      <c r="H225" s="6">
        <v>1056</v>
      </c>
      <c r="I225" s="6">
        <v>3505.7</v>
      </c>
    </row>
    <row r="226" spans="1:9" outlineLevel="1" x14ac:dyDescent="0.4">
      <c r="A226" s="1">
        <v>11</v>
      </c>
      <c r="C226" s="5" t="s">
        <v>429</v>
      </c>
      <c r="D226" s="5" t="s">
        <v>444</v>
      </c>
      <c r="E226" s="5" t="s">
        <v>422</v>
      </c>
      <c r="F226" s="5" t="s">
        <v>445</v>
      </c>
      <c r="G226" s="5" t="s">
        <v>10</v>
      </c>
      <c r="H226" s="6">
        <v>1056</v>
      </c>
      <c r="I226" s="6">
        <v>3505.7</v>
      </c>
    </row>
    <row r="227" spans="1:9" outlineLevel="1" x14ac:dyDescent="0.4">
      <c r="A227" s="1">
        <v>11</v>
      </c>
      <c r="C227" s="5" t="s">
        <v>429</v>
      </c>
      <c r="D227" s="5" t="s">
        <v>446</v>
      </c>
      <c r="E227" s="5" t="s">
        <v>422</v>
      </c>
      <c r="F227" s="5" t="s">
        <v>447</v>
      </c>
      <c r="G227" s="5" t="s">
        <v>10</v>
      </c>
      <c r="H227" s="6">
        <v>1056</v>
      </c>
      <c r="I227" s="6">
        <v>3505.7</v>
      </c>
    </row>
    <row r="228" spans="1:9" outlineLevel="1" x14ac:dyDescent="0.4">
      <c r="A228" s="1">
        <v>11</v>
      </c>
      <c r="C228" s="5" t="s">
        <v>429</v>
      </c>
      <c r="D228" s="5" t="s">
        <v>448</v>
      </c>
      <c r="E228" s="5" t="s">
        <v>422</v>
      </c>
      <c r="F228" s="5" t="s">
        <v>449</v>
      </c>
      <c r="G228" s="5" t="s">
        <v>10</v>
      </c>
      <c r="H228" s="6">
        <v>1056</v>
      </c>
      <c r="I228" s="6">
        <v>3505.7</v>
      </c>
    </row>
    <row r="229" spans="1:9" outlineLevel="1" x14ac:dyDescent="0.4">
      <c r="A229" s="1">
        <v>11</v>
      </c>
      <c r="C229" s="5" t="s">
        <v>429</v>
      </c>
      <c r="D229" s="5" t="s">
        <v>450</v>
      </c>
      <c r="E229" s="5" t="s">
        <v>422</v>
      </c>
      <c r="F229" s="5" t="s">
        <v>451</v>
      </c>
      <c r="G229" s="5" t="s">
        <v>10</v>
      </c>
      <c r="H229" s="6">
        <v>1056</v>
      </c>
      <c r="I229" s="6">
        <v>3505.7</v>
      </c>
    </row>
    <row r="230" spans="1:9" outlineLevel="1" x14ac:dyDescent="0.4">
      <c r="A230" s="1">
        <v>11</v>
      </c>
      <c r="C230" s="5" t="s">
        <v>429</v>
      </c>
      <c r="D230" s="5" t="s">
        <v>452</v>
      </c>
      <c r="E230" s="5" t="s">
        <v>422</v>
      </c>
      <c r="F230" s="5" t="s">
        <v>453</v>
      </c>
      <c r="G230" s="5" t="s">
        <v>10</v>
      </c>
      <c r="H230" s="6">
        <v>1056</v>
      </c>
      <c r="I230" s="6">
        <v>3505.7</v>
      </c>
    </row>
    <row r="231" spans="1:9" outlineLevel="1" x14ac:dyDescent="0.4">
      <c r="A231" s="1">
        <v>11</v>
      </c>
      <c r="C231" s="5" t="s">
        <v>429</v>
      </c>
      <c r="D231" s="5" t="s">
        <v>454</v>
      </c>
      <c r="E231" s="5" t="s">
        <v>422</v>
      </c>
      <c r="F231" s="5" t="s">
        <v>455</v>
      </c>
      <c r="G231" s="5" t="s">
        <v>10</v>
      </c>
      <c r="H231" s="6">
        <v>1056</v>
      </c>
      <c r="I231" s="6">
        <v>3505.7</v>
      </c>
    </row>
    <row r="232" spans="1:9" outlineLevel="1" x14ac:dyDescent="0.4">
      <c r="A232" s="1">
        <v>11</v>
      </c>
      <c r="C232" s="5" t="s">
        <v>429</v>
      </c>
      <c r="D232" s="5" t="s">
        <v>456</v>
      </c>
      <c r="E232" s="5" t="s">
        <v>422</v>
      </c>
      <c r="F232" s="5" t="s">
        <v>457</v>
      </c>
      <c r="G232" s="5" t="s">
        <v>10</v>
      </c>
      <c r="H232" s="6">
        <v>1056</v>
      </c>
      <c r="I232" s="6">
        <v>3505.7</v>
      </c>
    </row>
    <row r="233" spans="1:9" outlineLevel="1" x14ac:dyDescent="0.4">
      <c r="A233" s="1">
        <v>11</v>
      </c>
      <c r="C233" s="5" t="s">
        <v>429</v>
      </c>
      <c r="D233" s="5" t="s">
        <v>458</v>
      </c>
      <c r="E233" s="5" t="s">
        <v>422</v>
      </c>
      <c r="F233" s="5" t="s">
        <v>459</v>
      </c>
      <c r="G233" s="5" t="s">
        <v>10</v>
      </c>
      <c r="H233" s="6">
        <v>1056</v>
      </c>
      <c r="I233" s="6">
        <v>3505.7</v>
      </c>
    </row>
    <row r="234" spans="1:9" outlineLevel="1" x14ac:dyDescent="0.4">
      <c r="A234" s="1">
        <v>11</v>
      </c>
      <c r="C234" s="5" t="s">
        <v>429</v>
      </c>
      <c r="D234" s="5" t="s">
        <v>460</v>
      </c>
      <c r="E234" s="5" t="s">
        <v>422</v>
      </c>
      <c r="F234" s="5" t="s">
        <v>461</v>
      </c>
      <c r="G234" s="5" t="s">
        <v>10</v>
      </c>
      <c r="H234" s="6">
        <v>1056</v>
      </c>
      <c r="I234" s="6">
        <v>3505.7</v>
      </c>
    </row>
    <row r="235" spans="1:9" outlineLevel="1" x14ac:dyDescent="0.4">
      <c r="A235" s="1">
        <v>11</v>
      </c>
      <c r="C235" s="5" t="s">
        <v>429</v>
      </c>
      <c r="D235" s="5" t="s">
        <v>462</v>
      </c>
      <c r="E235" s="5" t="s">
        <v>422</v>
      </c>
      <c r="F235" s="5" t="s">
        <v>463</v>
      </c>
      <c r="G235" s="5" t="s">
        <v>10</v>
      </c>
      <c r="H235" s="6">
        <v>1056</v>
      </c>
      <c r="I235" s="6">
        <v>3505.7</v>
      </c>
    </row>
    <row r="236" spans="1:9" outlineLevel="1" x14ac:dyDescent="0.4">
      <c r="A236" s="1">
        <v>11</v>
      </c>
      <c r="C236" s="5" t="s">
        <v>429</v>
      </c>
      <c r="D236" s="5" t="s">
        <v>464</v>
      </c>
      <c r="E236" s="5" t="s">
        <v>422</v>
      </c>
      <c r="F236" s="5" t="s">
        <v>465</v>
      </c>
      <c r="G236" s="5" t="s">
        <v>10</v>
      </c>
      <c r="H236" s="6">
        <v>1056</v>
      </c>
      <c r="I236" s="6">
        <v>3505.7</v>
      </c>
    </row>
    <row r="237" spans="1:9" outlineLevel="1" x14ac:dyDescent="0.4">
      <c r="A237" s="1">
        <v>11</v>
      </c>
      <c r="C237" s="5" t="s">
        <v>429</v>
      </c>
      <c r="D237" s="5" t="s">
        <v>466</v>
      </c>
      <c r="E237" s="5" t="s">
        <v>422</v>
      </c>
      <c r="F237" s="5" t="s">
        <v>467</v>
      </c>
      <c r="G237" s="5" t="s">
        <v>10</v>
      </c>
      <c r="H237" s="6">
        <v>1056</v>
      </c>
      <c r="I237" s="6">
        <v>3505.7</v>
      </c>
    </row>
    <row r="238" spans="1:9" outlineLevel="1" x14ac:dyDescent="0.4">
      <c r="A238" s="1">
        <v>11</v>
      </c>
      <c r="C238" s="5" t="s">
        <v>164</v>
      </c>
      <c r="D238" s="5" t="s">
        <v>468</v>
      </c>
      <c r="E238" s="5" t="s">
        <v>422</v>
      </c>
      <c r="F238" s="5" t="s">
        <v>469</v>
      </c>
      <c r="G238" s="5" t="s">
        <v>10</v>
      </c>
      <c r="H238" s="6">
        <v>1056</v>
      </c>
      <c r="I238" s="6">
        <v>3505.7</v>
      </c>
    </row>
    <row r="239" spans="1:9" outlineLevel="1" x14ac:dyDescent="0.4">
      <c r="A239" s="1">
        <v>11</v>
      </c>
      <c r="C239" s="5" t="s">
        <v>164</v>
      </c>
      <c r="D239" s="5" t="s">
        <v>470</v>
      </c>
      <c r="E239" s="5" t="s">
        <v>422</v>
      </c>
      <c r="F239" s="5" t="s">
        <v>471</v>
      </c>
      <c r="G239" s="5" t="s">
        <v>10</v>
      </c>
      <c r="H239" s="6">
        <v>1056</v>
      </c>
      <c r="I239" s="6">
        <v>3505.7</v>
      </c>
    </row>
    <row r="240" spans="1:9" outlineLevel="1" x14ac:dyDescent="0.4">
      <c r="A240" s="1">
        <v>11</v>
      </c>
      <c r="C240" s="5" t="s">
        <v>164</v>
      </c>
      <c r="D240" s="5" t="s">
        <v>472</v>
      </c>
      <c r="E240" s="5" t="s">
        <v>422</v>
      </c>
      <c r="F240" s="5" t="s">
        <v>473</v>
      </c>
      <c r="G240" s="5" t="s">
        <v>10</v>
      </c>
      <c r="H240" s="6">
        <v>1056</v>
      </c>
      <c r="I240" s="6">
        <v>3505.7</v>
      </c>
    </row>
    <row r="241" spans="1:9" outlineLevel="1" x14ac:dyDescent="0.4">
      <c r="A241" s="1">
        <v>11</v>
      </c>
      <c r="C241" s="5" t="s">
        <v>164</v>
      </c>
      <c r="D241" s="5" t="s">
        <v>474</v>
      </c>
      <c r="E241" s="5" t="s">
        <v>422</v>
      </c>
      <c r="F241" s="5" t="s">
        <v>475</v>
      </c>
      <c r="G241" s="5" t="s">
        <v>10</v>
      </c>
      <c r="H241" s="6">
        <v>1056</v>
      </c>
      <c r="I241" s="6">
        <v>3505.7</v>
      </c>
    </row>
    <row r="242" spans="1:9" outlineLevel="1" x14ac:dyDescent="0.4">
      <c r="A242" s="1">
        <v>11</v>
      </c>
      <c r="C242" s="5" t="s">
        <v>476</v>
      </c>
      <c r="D242" s="5" t="s">
        <v>477</v>
      </c>
      <c r="E242" s="5" t="s">
        <v>422</v>
      </c>
      <c r="F242" s="5" t="s">
        <v>478</v>
      </c>
      <c r="G242" s="5" t="s">
        <v>10</v>
      </c>
      <c r="H242" s="6">
        <v>1056</v>
      </c>
      <c r="I242" s="6">
        <v>3505.7</v>
      </c>
    </row>
    <row r="243" spans="1:9" outlineLevel="1" x14ac:dyDescent="0.4">
      <c r="A243" s="1">
        <v>11</v>
      </c>
      <c r="C243" s="5" t="s">
        <v>476</v>
      </c>
      <c r="D243" s="5" t="s">
        <v>479</v>
      </c>
      <c r="E243" s="5" t="s">
        <v>422</v>
      </c>
      <c r="F243" s="5" t="s">
        <v>480</v>
      </c>
      <c r="G243" s="5" t="s">
        <v>10</v>
      </c>
      <c r="H243" s="6">
        <v>1056</v>
      </c>
      <c r="I243" s="6">
        <v>3505.7</v>
      </c>
    </row>
    <row r="244" spans="1:9" outlineLevel="1" x14ac:dyDescent="0.4">
      <c r="A244" s="1">
        <v>11</v>
      </c>
      <c r="C244" s="5" t="s">
        <v>476</v>
      </c>
      <c r="D244" s="5" t="s">
        <v>481</v>
      </c>
      <c r="E244" s="5" t="s">
        <v>422</v>
      </c>
      <c r="F244" s="5" t="s">
        <v>482</v>
      </c>
      <c r="G244" s="5" t="s">
        <v>10</v>
      </c>
      <c r="H244" s="6">
        <v>1056</v>
      </c>
      <c r="I244" s="6">
        <v>3505.7</v>
      </c>
    </row>
    <row r="245" spans="1:9" outlineLevel="1" x14ac:dyDescent="0.4">
      <c r="A245" s="1">
        <v>11</v>
      </c>
      <c r="C245" s="5" t="s">
        <v>102</v>
      </c>
      <c r="D245" s="5" t="s">
        <v>483</v>
      </c>
      <c r="E245" s="5" t="s">
        <v>422</v>
      </c>
      <c r="F245" s="5" t="s">
        <v>484</v>
      </c>
      <c r="G245" s="5" t="s">
        <v>10</v>
      </c>
      <c r="H245" s="6">
        <v>1056</v>
      </c>
      <c r="I245" s="6">
        <v>3505.7</v>
      </c>
    </row>
    <row r="246" spans="1:9" outlineLevel="1" x14ac:dyDescent="0.4">
      <c r="A246" s="1">
        <v>11</v>
      </c>
      <c r="C246" s="5" t="s">
        <v>253</v>
      </c>
      <c r="D246" s="5" t="s">
        <v>485</v>
      </c>
      <c r="E246" s="5" t="s">
        <v>422</v>
      </c>
      <c r="F246" s="5" t="s">
        <v>486</v>
      </c>
      <c r="G246" s="5" t="s">
        <v>10</v>
      </c>
      <c r="H246" s="6">
        <v>1056</v>
      </c>
      <c r="I246" s="6">
        <v>3505.7</v>
      </c>
    </row>
    <row r="247" spans="1:9" outlineLevel="1" x14ac:dyDescent="0.4">
      <c r="A247" s="1">
        <v>11</v>
      </c>
      <c r="C247" s="5" t="s">
        <v>253</v>
      </c>
      <c r="D247" s="5" t="s">
        <v>487</v>
      </c>
      <c r="E247" s="5" t="s">
        <v>422</v>
      </c>
      <c r="F247" s="5" t="s">
        <v>488</v>
      </c>
      <c r="G247" s="5" t="s">
        <v>10</v>
      </c>
      <c r="H247" s="6">
        <v>1056</v>
      </c>
      <c r="I247" s="6">
        <v>3505.7</v>
      </c>
    </row>
    <row r="248" spans="1:9" outlineLevel="1" x14ac:dyDescent="0.4">
      <c r="A248" s="1">
        <v>11</v>
      </c>
      <c r="C248" s="5" t="s">
        <v>253</v>
      </c>
      <c r="D248" s="5" t="s">
        <v>489</v>
      </c>
      <c r="E248" s="5" t="s">
        <v>422</v>
      </c>
      <c r="F248" s="5" t="s">
        <v>490</v>
      </c>
      <c r="G248" s="5" t="s">
        <v>10</v>
      </c>
      <c r="H248" s="6">
        <v>1056</v>
      </c>
      <c r="I248" s="6">
        <v>3505.7</v>
      </c>
    </row>
    <row r="249" spans="1:9" outlineLevel="1" x14ac:dyDescent="0.4">
      <c r="A249" s="1">
        <v>11</v>
      </c>
      <c r="C249" s="5" t="s">
        <v>253</v>
      </c>
      <c r="D249" s="5" t="s">
        <v>491</v>
      </c>
      <c r="E249" s="5" t="s">
        <v>422</v>
      </c>
      <c r="F249" s="5" t="s">
        <v>492</v>
      </c>
      <c r="G249" s="5" t="s">
        <v>10</v>
      </c>
      <c r="H249" s="6">
        <v>1056</v>
      </c>
      <c r="I249" s="6">
        <v>3505.7</v>
      </c>
    </row>
    <row r="250" spans="1:9" outlineLevel="1" x14ac:dyDescent="0.4">
      <c r="A250" s="1">
        <v>11</v>
      </c>
      <c r="C250" s="5" t="s">
        <v>253</v>
      </c>
      <c r="D250" s="5" t="s">
        <v>493</v>
      </c>
      <c r="E250" s="5" t="s">
        <v>422</v>
      </c>
      <c r="F250" s="5" t="s">
        <v>494</v>
      </c>
      <c r="G250" s="5" t="s">
        <v>10</v>
      </c>
      <c r="H250" s="6">
        <v>1056</v>
      </c>
      <c r="I250" s="6">
        <v>3505.7</v>
      </c>
    </row>
    <row r="251" spans="1:9" outlineLevel="1" x14ac:dyDescent="0.4">
      <c r="A251" s="1">
        <v>11</v>
      </c>
      <c r="C251" s="5" t="s">
        <v>253</v>
      </c>
      <c r="D251" s="5" t="s">
        <v>495</v>
      </c>
      <c r="E251" s="5" t="s">
        <v>422</v>
      </c>
      <c r="F251" s="5" t="s">
        <v>496</v>
      </c>
      <c r="G251" s="5" t="s">
        <v>10</v>
      </c>
      <c r="H251" s="6">
        <v>1056</v>
      </c>
      <c r="I251" s="6">
        <v>3505.7</v>
      </c>
    </row>
    <row r="252" spans="1:9" outlineLevel="1" x14ac:dyDescent="0.4">
      <c r="A252" s="1">
        <v>11</v>
      </c>
      <c r="C252" s="5" t="s">
        <v>253</v>
      </c>
      <c r="D252" s="5" t="s">
        <v>497</v>
      </c>
      <c r="E252" s="5" t="s">
        <v>422</v>
      </c>
      <c r="F252" s="5" t="s">
        <v>498</v>
      </c>
      <c r="G252" s="5" t="s">
        <v>10</v>
      </c>
      <c r="H252" s="6">
        <v>1056</v>
      </c>
      <c r="I252" s="6">
        <v>3505.7</v>
      </c>
    </row>
    <row r="253" spans="1:9" outlineLevel="1" x14ac:dyDescent="0.4">
      <c r="A253" s="1">
        <v>11</v>
      </c>
      <c r="C253" s="5" t="s">
        <v>253</v>
      </c>
      <c r="D253" s="5" t="s">
        <v>499</v>
      </c>
      <c r="E253" s="5" t="s">
        <v>422</v>
      </c>
      <c r="F253" s="5" t="s">
        <v>500</v>
      </c>
      <c r="G253" s="5" t="s">
        <v>10</v>
      </c>
      <c r="H253" s="6">
        <v>1056</v>
      </c>
      <c r="I253" s="6">
        <v>3505.7</v>
      </c>
    </row>
    <row r="254" spans="1:9" outlineLevel="1" x14ac:dyDescent="0.4">
      <c r="A254" s="1">
        <v>11</v>
      </c>
      <c r="C254" s="5" t="s">
        <v>253</v>
      </c>
      <c r="D254" s="5" t="s">
        <v>501</v>
      </c>
      <c r="E254" s="5" t="s">
        <v>422</v>
      </c>
      <c r="F254" s="5" t="s">
        <v>502</v>
      </c>
      <c r="G254" s="5" t="s">
        <v>10</v>
      </c>
      <c r="H254" s="6">
        <v>1056</v>
      </c>
      <c r="I254" s="6">
        <v>3505.7</v>
      </c>
    </row>
    <row r="255" spans="1:9" outlineLevel="1" x14ac:dyDescent="0.4">
      <c r="A255" s="1">
        <v>11</v>
      </c>
      <c r="C255" s="5" t="s">
        <v>503</v>
      </c>
      <c r="D255" s="5" t="s">
        <v>504</v>
      </c>
      <c r="E255" s="5" t="s">
        <v>422</v>
      </c>
      <c r="F255" s="5" t="s">
        <v>505</v>
      </c>
      <c r="G255" s="5" t="s">
        <v>10</v>
      </c>
      <c r="H255" s="6">
        <v>1056</v>
      </c>
      <c r="I255" s="6">
        <v>3505.7</v>
      </c>
    </row>
    <row r="256" spans="1:9" outlineLevel="1" x14ac:dyDescent="0.4">
      <c r="A256" s="1">
        <v>11</v>
      </c>
      <c r="C256" s="5" t="s">
        <v>503</v>
      </c>
      <c r="D256" s="5" t="s">
        <v>506</v>
      </c>
      <c r="E256" s="5" t="s">
        <v>422</v>
      </c>
      <c r="F256" s="5" t="s">
        <v>507</v>
      </c>
      <c r="G256" s="5" t="s">
        <v>10</v>
      </c>
      <c r="H256" s="6">
        <v>1056</v>
      </c>
      <c r="I256" s="6">
        <v>3505.7</v>
      </c>
    </row>
    <row r="257" spans="1:9" outlineLevel="1" x14ac:dyDescent="0.4">
      <c r="A257" s="1">
        <v>11</v>
      </c>
      <c r="C257" s="5" t="s">
        <v>503</v>
      </c>
      <c r="D257" s="5" t="s">
        <v>508</v>
      </c>
      <c r="E257" s="5" t="s">
        <v>422</v>
      </c>
      <c r="F257" s="5" t="s">
        <v>509</v>
      </c>
      <c r="G257" s="5" t="s">
        <v>10</v>
      </c>
      <c r="H257" s="6">
        <v>1056</v>
      </c>
      <c r="I257" s="6">
        <v>3505.7</v>
      </c>
    </row>
    <row r="258" spans="1:9" x14ac:dyDescent="0.4">
      <c r="A258" s="7"/>
      <c r="B258" s="7"/>
      <c r="H258" s="11">
        <v>44352</v>
      </c>
      <c r="I258" s="11">
        <f>I216+I217+I218+I219+I220+I221+I222+I223+I224+I225+I226+I227+I228+I229+I230+I231+I232+I233+I234+I235+I236+I237+I238+I239+I240+I241+I242+I243+I244+I245+I246+I247+I248+I249+I250+I251+I252+I253+I254+I255+I256+I257</f>
        <v>147239.39999999997</v>
      </c>
    </row>
    <row r="259" spans="1:9" x14ac:dyDescent="0.4">
      <c r="A259" s="4"/>
      <c r="B259" s="4"/>
    </row>
    <row r="260" spans="1:9" outlineLevel="1" x14ac:dyDescent="0.4">
      <c r="A260" s="1">
        <v>11</v>
      </c>
      <c r="C260" s="5" t="s">
        <v>510</v>
      </c>
      <c r="D260" s="5" t="s">
        <v>511</v>
      </c>
      <c r="E260" s="5" t="s">
        <v>512</v>
      </c>
      <c r="F260" s="5" t="s">
        <v>513</v>
      </c>
      <c r="G260" s="5" t="s">
        <v>514</v>
      </c>
      <c r="H260" s="6">
        <v>672</v>
      </c>
      <c r="I260" s="6">
        <v>1800.96</v>
      </c>
    </row>
    <row r="261" spans="1:9" outlineLevel="1" x14ac:dyDescent="0.4">
      <c r="A261" s="1">
        <v>11</v>
      </c>
      <c r="C261" s="5" t="s">
        <v>510</v>
      </c>
      <c r="D261" s="5" t="s">
        <v>515</v>
      </c>
      <c r="E261" s="5" t="s">
        <v>516</v>
      </c>
      <c r="F261" s="5" t="s">
        <v>517</v>
      </c>
      <c r="G261" s="5" t="s">
        <v>514</v>
      </c>
      <c r="H261" s="6">
        <v>504</v>
      </c>
      <c r="I261" s="6">
        <v>1350.72</v>
      </c>
    </row>
    <row r="262" spans="1:9" outlineLevel="1" x14ac:dyDescent="0.4">
      <c r="A262" s="1">
        <v>11</v>
      </c>
      <c r="C262" s="5" t="s">
        <v>429</v>
      </c>
      <c r="D262" s="5" t="s">
        <v>518</v>
      </c>
      <c r="E262" s="5" t="s">
        <v>519</v>
      </c>
      <c r="F262" s="5" t="s">
        <v>520</v>
      </c>
      <c r="G262" s="5" t="s">
        <v>521</v>
      </c>
      <c r="H262" s="6">
        <v>1596</v>
      </c>
      <c r="I262" s="6">
        <v>3670.8</v>
      </c>
    </row>
    <row r="263" spans="1:9" outlineLevel="1" x14ac:dyDescent="0.4">
      <c r="A263" s="1">
        <v>11</v>
      </c>
      <c r="C263" s="5" t="s">
        <v>429</v>
      </c>
      <c r="D263" s="5" t="s">
        <v>522</v>
      </c>
      <c r="E263" s="5" t="s">
        <v>523</v>
      </c>
      <c r="F263" s="5" t="s">
        <v>524</v>
      </c>
      <c r="G263" s="5" t="s">
        <v>521</v>
      </c>
      <c r="H263" s="6">
        <v>1596</v>
      </c>
      <c r="I263" s="6">
        <v>3670.8</v>
      </c>
    </row>
    <row r="264" spans="1:9" outlineLevel="1" x14ac:dyDescent="0.4">
      <c r="A264" s="1">
        <v>11</v>
      </c>
      <c r="C264" s="5" t="s">
        <v>102</v>
      </c>
      <c r="D264" s="5" t="s">
        <v>525</v>
      </c>
      <c r="E264" s="5" t="s">
        <v>526</v>
      </c>
      <c r="F264" s="5" t="s">
        <v>527</v>
      </c>
      <c r="G264" s="5" t="s">
        <v>528</v>
      </c>
      <c r="H264" s="6">
        <v>1</v>
      </c>
      <c r="I264" s="6">
        <v>225</v>
      </c>
    </row>
    <row r="265" spans="1:9" outlineLevel="1" x14ac:dyDescent="0.4">
      <c r="A265" s="1">
        <v>11</v>
      </c>
      <c r="C265" s="5" t="s">
        <v>69</v>
      </c>
      <c r="D265" s="5" t="s">
        <v>529</v>
      </c>
      <c r="E265" s="5" t="s">
        <v>530</v>
      </c>
      <c r="F265" s="5" t="s">
        <v>531</v>
      </c>
      <c r="G265" s="5" t="s">
        <v>10</v>
      </c>
      <c r="H265" s="6">
        <v>1848</v>
      </c>
      <c r="I265" s="6">
        <v>3836.58</v>
      </c>
    </row>
    <row r="266" spans="1:9" outlineLevel="1" x14ac:dyDescent="0.4">
      <c r="A266" s="1">
        <v>11</v>
      </c>
      <c r="C266" s="5" t="s">
        <v>69</v>
      </c>
      <c r="D266" s="5" t="s">
        <v>532</v>
      </c>
      <c r="E266" s="5" t="s">
        <v>533</v>
      </c>
      <c r="F266" s="5" t="s">
        <v>534</v>
      </c>
      <c r="G266" s="5" t="s">
        <v>10</v>
      </c>
      <c r="H266" s="6">
        <v>1848</v>
      </c>
      <c r="I266" s="6">
        <v>3836.58</v>
      </c>
    </row>
    <row r="267" spans="1:9" outlineLevel="1" x14ac:dyDescent="0.4">
      <c r="A267" s="1">
        <v>11</v>
      </c>
      <c r="C267" s="5" t="s">
        <v>69</v>
      </c>
      <c r="D267" s="5" t="s">
        <v>535</v>
      </c>
      <c r="E267" s="5" t="s">
        <v>530</v>
      </c>
      <c r="F267" s="5" t="s">
        <v>536</v>
      </c>
      <c r="G267" s="5" t="s">
        <v>10</v>
      </c>
      <c r="H267" s="6">
        <v>1848</v>
      </c>
      <c r="I267" s="6">
        <v>3836.58</v>
      </c>
    </row>
    <row r="268" spans="1:9" outlineLevel="1" x14ac:dyDescent="0.4">
      <c r="A268" s="1">
        <v>11</v>
      </c>
      <c r="C268" s="5" t="s">
        <v>69</v>
      </c>
      <c r="D268" s="5" t="s">
        <v>537</v>
      </c>
      <c r="E268" s="5" t="s">
        <v>530</v>
      </c>
      <c r="F268" s="5" t="s">
        <v>538</v>
      </c>
      <c r="G268" s="5" t="s">
        <v>10</v>
      </c>
      <c r="H268" s="6">
        <v>1848</v>
      </c>
      <c r="I268" s="6">
        <v>3836.58</v>
      </c>
    </row>
    <row r="269" spans="1:9" outlineLevel="1" x14ac:dyDescent="0.4">
      <c r="A269" s="1">
        <v>11</v>
      </c>
      <c r="C269" s="5" t="s">
        <v>365</v>
      </c>
      <c r="D269" s="5" t="s">
        <v>539</v>
      </c>
      <c r="E269" s="5" t="s">
        <v>540</v>
      </c>
      <c r="F269" s="5" t="s">
        <v>541</v>
      </c>
      <c r="G269" s="5" t="s">
        <v>10</v>
      </c>
      <c r="H269" s="6">
        <v>1848</v>
      </c>
      <c r="I269" s="6">
        <v>3836.58</v>
      </c>
    </row>
    <row r="270" spans="1:9" outlineLevel="1" x14ac:dyDescent="0.4">
      <c r="A270" s="1">
        <v>11</v>
      </c>
      <c r="C270" s="5" t="s">
        <v>365</v>
      </c>
      <c r="D270" s="5" t="s">
        <v>542</v>
      </c>
      <c r="E270" s="5" t="s">
        <v>540</v>
      </c>
      <c r="F270" s="5" t="s">
        <v>543</v>
      </c>
      <c r="G270" s="5" t="s">
        <v>10</v>
      </c>
      <c r="H270" s="6">
        <v>1848</v>
      </c>
      <c r="I270" s="6">
        <v>3836.58</v>
      </c>
    </row>
    <row r="271" spans="1:9" outlineLevel="1" x14ac:dyDescent="0.4">
      <c r="A271" s="1">
        <v>10</v>
      </c>
      <c r="C271" s="5" t="s">
        <v>81</v>
      </c>
      <c r="D271" s="5" t="s">
        <v>544</v>
      </c>
      <c r="E271" s="5" t="s">
        <v>545</v>
      </c>
      <c r="F271" s="5" t="s">
        <v>546</v>
      </c>
      <c r="G271" s="5" t="s">
        <v>547</v>
      </c>
      <c r="H271" s="6">
        <v>3</v>
      </c>
      <c r="I271" s="6">
        <v>675</v>
      </c>
    </row>
    <row r="272" spans="1:9" outlineLevel="1" x14ac:dyDescent="0.4">
      <c r="A272" s="1">
        <v>10</v>
      </c>
      <c r="C272" s="5" t="s">
        <v>81</v>
      </c>
      <c r="D272" s="5" t="s">
        <v>548</v>
      </c>
      <c r="E272" s="5" t="s">
        <v>545</v>
      </c>
      <c r="F272" s="5" t="s">
        <v>549</v>
      </c>
      <c r="G272" s="5" t="s">
        <v>528</v>
      </c>
      <c r="H272" s="6">
        <v>1</v>
      </c>
      <c r="I272" s="6">
        <v>225</v>
      </c>
    </row>
    <row r="273" spans="1:9" outlineLevel="1" x14ac:dyDescent="0.4">
      <c r="A273" s="1">
        <v>10</v>
      </c>
      <c r="C273" s="5" t="s">
        <v>81</v>
      </c>
      <c r="D273" s="5" t="s">
        <v>550</v>
      </c>
      <c r="E273" s="5" t="s">
        <v>512</v>
      </c>
      <c r="F273" s="5" t="s">
        <v>551</v>
      </c>
      <c r="G273" s="5" t="s">
        <v>528</v>
      </c>
      <c r="H273" s="6">
        <v>1</v>
      </c>
      <c r="I273" s="6">
        <v>225</v>
      </c>
    </row>
    <row r="274" spans="1:9" outlineLevel="1" x14ac:dyDescent="0.4">
      <c r="A274" s="1">
        <v>11</v>
      </c>
      <c r="C274" s="5" t="s">
        <v>253</v>
      </c>
      <c r="D274" s="5" t="s">
        <v>552</v>
      </c>
      <c r="E274" s="5" t="s">
        <v>553</v>
      </c>
      <c r="F274" s="5" t="s">
        <v>554</v>
      </c>
      <c r="G274" s="5" t="s">
        <v>294</v>
      </c>
      <c r="H274" s="6">
        <v>1512</v>
      </c>
      <c r="I274" s="6">
        <v>3477.6</v>
      </c>
    </row>
    <row r="275" spans="1:9" outlineLevel="1" x14ac:dyDescent="0.4">
      <c r="A275" s="1">
        <v>11</v>
      </c>
      <c r="C275" s="5" t="s">
        <v>253</v>
      </c>
      <c r="D275" s="5" t="s">
        <v>555</v>
      </c>
      <c r="E275" s="5" t="s">
        <v>556</v>
      </c>
      <c r="F275" s="5" t="s">
        <v>557</v>
      </c>
      <c r="G275" s="5" t="s">
        <v>290</v>
      </c>
      <c r="H275" s="6">
        <v>1848</v>
      </c>
      <c r="I275" s="6">
        <v>4250.3999999999996</v>
      </c>
    </row>
    <row r="276" spans="1:9" outlineLevel="1" x14ac:dyDescent="0.4">
      <c r="A276" s="1">
        <v>11</v>
      </c>
      <c r="C276" s="5" t="s">
        <v>253</v>
      </c>
      <c r="D276" s="5" t="s">
        <v>558</v>
      </c>
      <c r="E276" s="5" t="s">
        <v>291</v>
      </c>
      <c r="F276" s="5" t="s">
        <v>559</v>
      </c>
      <c r="G276" s="5" t="s">
        <v>294</v>
      </c>
      <c r="H276" s="6">
        <v>1512</v>
      </c>
      <c r="I276" s="6">
        <v>3477.6</v>
      </c>
    </row>
    <row r="277" spans="1:9" outlineLevel="1" x14ac:dyDescent="0.4">
      <c r="A277" s="1">
        <v>11</v>
      </c>
      <c r="C277" s="5" t="s">
        <v>503</v>
      </c>
      <c r="D277" s="5" t="s">
        <v>560</v>
      </c>
      <c r="E277" s="5" t="s">
        <v>561</v>
      </c>
      <c r="F277" s="5" t="s">
        <v>562</v>
      </c>
      <c r="G277" s="5" t="s">
        <v>528</v>
      </c>
      <c r="H277" s="6">
        <v>1</v>
      </c>
      <c r="I277" s="6">
        <v>225</v>
      </c>
    </row>
    <row r="278" spans="1:9" outlineLevel="1" x14ac:dyDescent="0.4">
      <c r="A278" s="1">
        <v>11</v>
      </c>
      <c r="C278" s="5" t="s">
        <v>503</v>
      </c>
      <c r="D278" s="5" t="s">
        <v>563</v>
      </c>
      <c r="E278" s="5" t="s">
        <v>526</v>
      </c>
      <c r="F278" s="5" t="s">
        <v>564</v>
      </c>
      <c r="G278" s="5" t="s">
        <v>514</v>
      </c>
      <c r="H278" s="6">
        <v>504</v>
      </c>
      <c r="I278" s="6">
        <v>1350.72</v>
      </c>
    </row>
    <row r="279" spans="1:9" outlineLevel="1" x14ac:dyDescent="0.4">
      <c r="A279" s="1">
        <v>11</v>
      </c>
      <c r="C279" s="5" t="s">
        <v>503</v>
      </c>
      <c r="D279" s="5" t="s">
        <v>565</v>
      </c>
      <c r="E279" s="5" t="s">
        <v>526</v>
      </c>
      <c r="F279" s="5" t="s">
        <v>566</v>
      </c>
      <c r="G279" s="5" t="s">
        <v>300</v>
      </c>
      <c r="H279" s="6">
        <v>1596</v>
      </c>
      <c r="I279" s="6">
        <v>3670.8</v>
      </c>
    </row>
    <row r="280" spans="1:9" outlineLevel="1" x14ac:dyDescent="0.4">
      <c r="A280" s="1">
        <v>11</v>
      </c>
      <c r="C280" s="5" t="s">
        <v>567</v>
      </c>
      <c r="D280" s="5" t="s">
        <v>568</v>
      </c>
      <c r="E280" s="5" t="s">
        <v>569</v>
      </c>
      <c r="F280" s="5" t="s">
        <v>570</v>
      </c>
      <c r="G280" s="5" t="s">
        <v>290</v>
      </c>
      <c r="H280" s="6">
        <v>1848</v>
      </c>
      <c r="I280" s="6">
        <v>4250.3999999999996</v>
      </c>
    </row>
    <row r="281" spans="1:9" x14ac:dyDescent="0.4">
      <c r="A281" s="7"/>
      <c r="B281" s="7"/>
      <c r="H281" s="10">
        <v>24283</v>
      </c>
      <c r="I281" s="11">
        <f>I260+I261+I262+I263+I264+I265+I266+I267+I268+I269+I270+I271+I272+I273+I274+I275+I276+I277+I278+I279+I280</f>
        <v>55565.280000000013</v>
      </c>
    </row>
    <row r="282" spans="1:9" x14ac:dyDescent="0.4">
      <c r="A282" s="4"/>
      <c r="B282" s="4"/>
    </row>
    <row r="283" spans="1:9" outlineLevel="1" x14ac:dyDescent="0.4">
      <c r="A283" s="1">
        <v>11</v>
      </c>
      <c r="C283" s="5" t="s">
        <v>37</v>
      </c>
      <c r="D283" s="5" t="s">
        <v>571</v>
      </c>
      <c r="E283" s="5" t="s">
        <v>572</v>
      </c>
      <c r="F283" s="5" t="s">
        <v>573</v>
      </c>
      <c r="G283" s="5" t="s">
        <v>290</v>
      </c>
      <c r="H283" s="6">
        <v>1848</v>
      </c>
      <c r="I283" s="6">
        <v>4250.3999999999996</v>
      </c>
    </row>
    <row r="284" spans="1:9" x14ac:dyDescent="0.4">
      <c r="A284" s="7"/>
      <c r="B284" s="7"/>
      <c r="H284" s="10">
        <v>1848</v>
      </c>
      <c r="I284" s="11">
        <f>I283</f>
        <v>4250.3999999999996</v>
      </c>
    </row>
    <row r="288" spans="1:9" x14ac:dyDescent="0.4">
      <c r="A288" s="17" t="s">
        <v>574</v>
      </c>
      <c r="B288" s="17"/>
      <c r="C288" s="15"/>
      <c r="D288" s="15"/>
      <c r="E288" s="15"/>
      <c r="F288" s="15"/>
      <c r="G288" s="15"/>
      <c r="H288" s="15"/>
    </row>
  </sheetData>
  <mergeCells count="3">
    <mergeCell ref="A1:H1"/>
    <mergeCell ref="A2:H2"/>
    <mergeCell ref="A288:H28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Dylan Janota</dc:creator>
  <cp:lastModifiedBy>Dylan Janota</cp:lastModifiedBy>
  <dcterms:created xsi:type="dcterms:W3CDTF">2026-05-24T18:08:49Z</dcterms:created>
  <dcterms:modified xsi:type="dcterms:W3CDTF">2026-08-29T18:40:17Z</dcterms:modified>
</cp:coreProperties>
</file>